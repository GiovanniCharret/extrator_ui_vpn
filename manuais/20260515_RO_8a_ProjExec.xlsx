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isdosSantosBrito\Downloads\"/>
    </mc:Choice>
  </mc:AlternateContent>
  <xr:revisionPtr revIDLastSave="0" documentId="13_ncr:1_{611CF93E-ED4E-4B5B-9595-DF4B689DC489}" xr6:coauthVersionLast="47" xr6:coauthVersionMax="47" xr10:uidLastSave="{00000000-0000-0000-0000-000000000000}"/>
  <bookViews>
    <workbookView xWindow="-120" yWindow="-120" windowWidth="29040" windowHeight="15720" tabRatio="615" xr2:uid="{00000000-000D-0000-FFFF-FFFF00000000}"/>
  </bookViews>
  <sheets>
    <sheet name="Rural" sheetId="1" r:id="rId1"/>
    <sheet name="Subestação" sheetId="2" r:id="rId2"/>
    <sheet name="Fonte Alternativa" sheetId="3" r:id="rId3"/>
    <sheet name="Geração" sheetId="5" r:id="rId4"/>
    <sheet name="Diverso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I4" i="4"/>
  <c r="H4" i="4"/>
  <c r="I4" i="5"/>
  <c r="H4" i="5"/>
  <c r="K4" i="3"/>
  <c r="J4" i="3"/>
  <c r="I4" i="3"/>
  <c r="H4" i="3"/>
  <c r="I4" i="2"/>
  <c r="H4" i="2"/>
  <c r="H103" i="1"/>
  <c r="I103" i="1"/>
  <c r="J103" i="1"/>
  <c r="K103" i="1"/>
  <c r="L103" i="1"/>
  <c r="M103" i="1"/>
  <c r="N103" i="1"/>
  <c r="O103" i="1"/>
  <c r="P103" i="1"/>
</calcChain>
</file>

<file path=xl/sharedStrings.xml><?xml version="1.0" encoding="utf-8"?>
<sst xmlns="http://schemas.openxmlformats.org/spreadsheetml/2006/main" count="769" uniqueCount="258">
  <si>
    <t>ELETROBRAS</t>
  </si>
  <si>
    <t>PROJETOS EXECUTADOS - ELETRIFICAÇÃO RURAL - Rondônia 9º Tranche - ENVIADOS ENTRE 01/01/2004 E 15/05/2026</t>
  </si>
  <si>
    <t>ODI</t>
  </si>
  <si>
    <t>Projeto</t>
  </si>
  <si>
    <t>Munícipio</t>
  </si>
  <si>
    <t>UF</t>
  </si>
  <si>
    <t>Data Início
da Obra</t>
  </si>
  <si>
    <t>Data Fim
da Obra</t>
  </si>
  <si>
    <t>Data
Envio</t>
  </si>
  <si>
    <t>Cons. Ligados</t>
  </si>
  <si>
    <t>Kit</t>
  </si>
  <si>
    <t>Custo
(R$)</t>
  </si>
  <si>
    <t>Rede AT
(Km)</t>
  </si>
  <si>
    <t>Rede BT
(Km)</t>
  </si>
  <si>
    <t>Poste</t>
  </si>
  <si>
    <t>Medidor</t>
  </si>
  <si>
    <t>Trafo</t>
  </si>
  <si>
    <t>Equip.</t>
  </si>
  <si>
    <t>102300137</t>
  </si>
  <si>
    <t>eletrificação rural</t>
  </si>
  <si>
    <t>PORTO VELHO</t>
  </si>
  <si>
    <t>RO</t>
  </si>
  <si>
    <t>05/05/2023</t>
  </si>
  <si>
    <t>30/11/2025</t>
  </si>
  <si>
    <t>01/04/2026</t>
  </si>
  <si>
    <t>102300817</t>
  </si>
  <si>
    <t>31/10/2023</t>
  </si>
  <si>
    <t>18/12/2025</t>
  </si>
  <si>
    <t>102400573</t>
  </si>
  <si>
    <t>ELETRIFICAÇÃO RURAL</t>
  </si>
  <si>
    <t>14/05/2024</t>
  </si>
  <si>
    <t>29/10/2025</t>
  </si>
  <si>
    <t>102400691</t>
  </si>
  <si>
    <t>17/07/2024</t>
  </si>
  <si>
    <t>302200788</t>
  </si>
  <si>
    <t>PIMENTA BUENO</t>
  </si>
  <si>
    <t>17/04/2025</t>
  </si>
  <si>
    <t>26/09/2025</t>
  </si>
  <si>
    <t>302200896</t>
  </si>
  <si>
    <t>VILHENA</t>
  </si>
  <si>
    <t>10/09/2025</t>
  </si>
  <si>
    <t>27/12/2025</t>
  </si>
  <si>
    <t>302301463</t>
  </si>
  <si>
    <t>26/09/2023</t>
  </si>
  <si>
    <t>302301723</t>
  </si>
  <si>
    <t>CACOAL</t>
  </si>
  <si>
    <t>04/10/2023</t>
  </si>
  <si>
    <t>31/12/2025</t>
  </si>
  <si>
    <t>302302421</t>
  </si>
  <si>
    <t>06/12/2023</t>
  </si>
  <si>
    <t>302400007</t>
  </si>
  <si>
    <t>02/01/2024</t>
  </si>
  <si>
    <t>26/12/2025</t>
  </si>
  <si>
    <t>302400294</t>
  </si>
  <si>
    <t>07/02/2024</t>
  </si>
  <si>
    <t>28/11/2025</t>
  </si>
  <si>
    <t>302400743</t>
  </si>
  <si>
    <t>Eletrificação Rural</t>
  </si>
  <si>
    <t>05/04/2024</t>
  </si>
  <si>
    <t>28/10/2025</t>
  </si>
  <si>
    <t>302401454</t>
  </si>
  <si>
    <t>09/07/2024</t>
  </si>
  <si>
    <t>302401668</t>
  </si>
  <si>
    <t>17/08/2023</t>
  </si>
  <si>
    <t>19/12/2025</t>
  </si>
  <si>
    <t>31/03/2026</t>
  </si>
  <si>
    <t>302401726</t>
  </si>
  <si>
    <t>22/08/2024</t>
  </si>
  <si>
    <t>20/12/2025</t>
  </si>
  <si>
    <t>302401856</t>
  </si>
  <si>
    <t>SAO MIGUEL DO GUAPORE</t>
  </si>
  <si>
    <t>28/08/2024</t>
  </si>
  <si>
    <t>22/12/2025</t>
  </si>
  <si>
    <t>17/03/2026</t>
  </si>
  <si>
    <t>302401968</t>
  </si>
  <si>
    <t>ESPIGAO D'OESTE</t>
  </si>
  <si>
    <t>29/04/2025</t>
  </si>
  <si>
    <t>302402110</t>
  </si>
  <si>
    <t>30/10/2024</t>
  </si>
  <si>
    <t>18/03/2026</t>
  </si>
  <si>
    <t>302402114</t>
  </si>
  <si>
    <t>ALTA FLORESTA D'OESTE</t>
  </si>
  <si>
    <t>302402139</t>
  </si>
  <si>
    <t>27/07/2023</t>
  </si>
  <si>
    <t>302402154</t>
  </si>
  <si>
    <t>18/11/2024</t>
  </si>
  <si>
    <t>26/11/2025</t>
  </si>
  <si>
    <t>302402166</t>
  </si>
  <si>
    <t>21/11/2024</t>
  </si>
  <si>
    <t>08/12/2025</t>
  </si>
  <si>
    <t>302500046</t>
  </si>
  <si>
    <t>10/01/2025</t>
  </si>
  <si>
    <t>27/06/2025</t>
  </si>
  <si>
    <t>302500077</t>
  </si>
  <si>
    <t>22/01/2025</t>
  </si>
  <si>
    <t>30/10/2025</t>
  </si>
  <si>
    <t>302500085</t>
  </si>
  <si>
    <t>29/01/2025</t>
  </si>
  <si>
    <t>03/12/2025</t>
  </si>
  <si>
    <t>302500087</t>
  </si>
  <si>
    <t>302500114</t>
  </si>
  <si>
    <t>15/05/2025</t>
  </si>
  <si>
    <t>302500127</t>
  </si>
  <si>
    <t>31/01/2025</t>
  </si>
  <si>
    <t>302500171</t>
  </si>
  <si>
    <t>12/07/2023</t>
  </si>
  <si>
    <t>302500173</t>
  </si>
  <si>
    <t>10/07/2023</t>
  </si>
  <si>
    <t>28/12/2025</t>
  </si>
  <si>
    <t>302500198</t>
  </si>
  <si>
    <t>03/03/2025</t>
  </si>
  <si>
    <t>27/11/2025</t>
  </si>
  <si>
    <t>302500200</t>
  </si>
  <si>
    <t>06/03/2025</t>
  </si>
  <si>
    <t>302500218</t>
  </si>
  <si>
    <t>17/03/2025</t>
  </si>
  <si>
    <t>22/01/2026</t>
  </si>
  <si>
    <t>302500226</t>
  </si>
  <si>
    <t>13/03/2025</t>
  </si>
  <si>
    <t>302500238</t>
  </si>
  <si>
    <t>302500268</t>
  </si>
  <si>
    <t>20/03/2025</t>
  </si>
  <si>
    <t>302500280</t>
  </si>
  <si>
    <t>24/07/2023</t>
  </si>
  <si>
    <t>302500322</t>
  </si>
  <si>
    <t>SERINGUEIRAS</t>
  </si>
  <si>
    <t>26/03/2025</t>
  </si>
  <si>
    <t>302500346</t>
  </si>
  <si>
    <t>03/04/2025</t>
  </si>
  <si>
    <t>302500348</t>
  </si>
  <si>
    <t>30/12/2025</t>
  </si>
  <si>
    <t>302500350</t>
  </si>
  <si>
    <t>28/03/2025</t>
  </si>
  <si>
    <t>302500356</t>
  </si>
  <si>
    <t>302500368</t>
  </si>
  <si>
    <t>31/03/2025</t>
  </si>
  <si>
    <t>302500372</t>
  </si>
  <si>
    <t>04/04/2025</t>
  </si>
  <si>
    <t>28/01/2026</t>
  </si>
  <si>
    <t>302500374</t>
  </si>
  <si>
    <t>08/04/2025</t>
  </si>
  <si>
    <t>302500384</t>
  </si>
  <si>
    <t>07/04/2025</t>
  </si>
  <si>
    <t>26/01/2026</t>
  </si>
  <si>
    <t>302500404</t>
  </si>
  <si>
    <t>ALTO ALEGRE DO PARECIS</t>
  </si>
  <si>
    <t>24/04/2025</t>
  </si>
  <si>
    <t>30/09/2025</t>
  </si>
  <si>
    <t>19/02/2026</t>
  </si>
  <si>
    <t>302500408</t>
  </si>
  <si>
    <t>14/04/2025</t>
  </si>
  <si>
    <t>302500436</t>
  </si>
  <si>
    <t>24/04/2023</t>
  </si>
  <si>
    <t>302500464</t>
  </si>
  <si>
    <t>302500468</t>
  </si>
  <si>
    <t>22/04/2025</t>
  </si>
  <si>
    <t>23/12/2025</t>
  </si>
  <si>
    <t>302500480</t>
  </si>
  <si>
    <t>ALVORADA D'OESTE</t>
  </si>
  <si>
    <t>04/07/2023</t>
  </si>
  <si>
    <t>302500486</t>
  </si>
  <si>
    <t>23/04/2025</t>
  </si>
  <si>
    <t>302500492</t>
  </si>
  <si>
    <t>302500504</t>
  </si>
  <si>
    <t>21/07/2023</t>
  </si>
  <si>
    <t>302500532</t>
  </si>
  <si>
    <t>302500548</t>
  </si>
  <si>
    <t>05/05/2025</t>
  </si>
  <si>
    <t>302500572</t>
  </si>
  <si>
    <t>302500574</t>
  </si>
  <si>
    <t>13/05/2025</t>
  </si>
  <si>
    <t>302500590</t>
  </si>
  <si>
    <t>22/05/2025</t>
  </si>
  <si>
    <t>27/01/2026</t>
  </si>
  <si>
    <t>302500608</t>
  </si>
  <si>
    <t>27/05/2025</t>
  </si>
  <si>
    <t>302500616</t>
  </si>
  <si>
    <t>21/05/2025</t>
  </si>
  <si>
    <t>302500620</t>
  </si>
  <si>
    <t>302500626</t>
  </si>
  <si>
    <t>23/05/2025</t>
  </si>
  <si>
    <t>302500638</t>
  </si>
  <si>
    <t>28/05/2025</t>
  </si>
  <si>
    <t>11/12/2025</t>
  </si>
  <si>
    <t>302500642</t>
  </si>
  <si>
    <t>02/06/2025</t>
  </si>
  <si>
    <t>302500650</t>
  </si>
  <si>
    <t>03/06/2025</t>
  </si>
  <si>
    <t>29/12/2025</t>
  </si>
  <si>
    <t>302500654</t>
  </si>
  <si>
    <t>ROLIM DE MOURA</t>
  </si>
  <si>
    <t>05/06/2025</t>
  </si>
  <si>
    <t>302500656</t>
  </si>
  <si>
    <t>10/06/2025</t>
  </si>
  <si>
    <t>302500662</t>
  </si>
  <si>
    <t>302500674</t>
  </si>
  <si>
    <t>CHUPINGUAIA</t>
  </si>
  <si>
    <t>12/06/2025</t>
  </si>
  <si>
    <t>302500676</t>
  </si>
  <si>
    <t>302500682</t>
  </si>
  <si>
    <t>302500713</t>
  </si>
  <si>
    <t>17/06/2025</t>
  </si>
  <si>
    <t>302500723</t>
  </si>
  <si>
    <t>09/06/2025</t>
  </si>
  <si>
    <t>302500739</t>
  </si>
  <si>
    <t>24/06/2025</t>
  </si>
  <si>
    <t>302500759</t>
  </si>
  <si>
    <t>14/07/2025</t>
  </si>
  <si>
    <t>302500763</t>
  </si>
  <si>
    <t>02/07/2025</t>
  </si>
  <si>
    <t>302500785</t>
  </si>
  <si>
    <t>01/07/2025</t>
  </si>
  <si>
    <t>302500787</t>
  </si>
  <si>
    <t>09/07/2025</t>
  </si>
  <si>
    <t>302500789</t>
  </si>
  <si>
    <t>10/07/2025</t>
  </si>
  <si>
    <t>29/01/2026</t>
  </si>
  <si>
    <t>302500793</t>
  </si>
  <si>
    <t>11/07/2025</t>
  </si>
  <si>
    <t>302500795</t>
  </si>
  <si>
    <t>22/07/2025</t>
  </si>
  <si>
    <t>302500803</t>
  </si>
  <si>
    <t>08/07/2025</t>
  </si>
  <si>
    <t>302500809</t>
  </si>
  <si>
    <t>302500815</t>
  </si>
  <si>
    <t>17/07/2025</t>
  </si>
  <si>
    <t>302500823</t>
  </si>
  <si>
    <t>24/07/2025</t>
  </si>
  <si>
    <t>302500825</t>
  </si>
  <si>
    <t>21/07/2025</t>
  </si>
  <si>
    <t>302500827</t>
  </si>
  <si>
    <t>302500831</t>
  </si>
  <si>
    <t>302500835</t>
  </si>
  <si>
    <t>302500837</t>
  </si>
  <si>
    <t>302500839</t>
  </si>
  <si>
    <t>01/08/2025</t>
  </si>
  <si>
    <t>302500866</t>
  </si>
  <si>
    <t>29/07/2025</t>
  </si>
  <si>
    <t>302500904</t>
  </si>
  <si>
    <t>04/09/2025</t>
  </si>
  <si>
    <t>302500916</t>
  </si>
  <si>
    <t>27/08/2025</t>
  </si>
  <si>
    <t>302501027</t>
  </si>
  <si>
    <t>01/10/2025</t>
  </si>
  <si>
    <t>302501093</t>
  </si>
  <si>
    <t>302501112</t>
  </si>
  <si>
    <t>04/11/2025</t>
  </si>
  <si>
    <t>Total de Projetos: 99</t>
  </si>
  <si>
    <t>Observação: A Rede AT/BT encontra-se somada à Rede BT.</t>
  </si>
  <si>
    <t>Relatório Visualizado em 15/05/2026 às 10:22:58</t>
  </si>
  <si>
    <t>PROJETOS EXECUTADOS - SUBESTAÇÃO - Rondônia 9º Tranche - ENVIADOS ENTRE 01/01/2004 E 15/05/2026</t>
  </si>
  <si>
    <t>Subestação</t>
  </si>
  <si>
    <t>Total de Projetos: 0</t>
  </si>
  <si>
    <t>PROJETOS EXECUTADOS - FONTE ALTERNATIVA - Rondônia 9º Tranche - ENVIADOS ENTRE 01/01/2004 E 15/05/2026</t>
  </si>
  <si>
    <t>Fonte
Alternativa</t>
  </si>
  <si>
    <t>PROJETOS EXECUTADOS - GERAÇÃO - Rondônia 9º Tranche - ENVIADOS ENTRE 01/01/2004 E 15/05/2026</t>
  </si>
  <si>
    <t>Geração</t>
  </si>
  <si>
    <t>PROJETOS EXECUTADOS - DIVERSOS - Rondônia 9º Tranche - ENVIADOS ENTRE 01/01/2004 E 15/05/2026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</si>
</sst>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name val="Arial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3" fontId="0" fillId="0" borderId="0" xfId="0" applyNumberFormat="1"/>
    <xf numFmtId="4" fontId="0" fillId="0" borderId="0" xfId="0" applyNumberFormat="1"/>
    <xf numFmtId="3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14" fontId="2" fillId="2" borderId="1" xfId="0" applyNumberFormat="1" applyFont="1" applyFill="1" applyBorder="1" applyAlignment="1">
      <alignment horizontal="center" vertical="center" wrapText="1"/>
    </xf>
    <xf numFmtId="3" fontId="0" fillId="0" borderId="2" xfId="0" applyNumberFormat="1" applyBorder="1" applyAlignment="1">
      <alignment vertical="center"/>
    </xf>
    <xf numFmtId="4" fontId="0" fillId="0" borderId="2" xfId="0" applyNumberFormat="1" applyBorder="1" applyAlignment="1">
      <alignment vertical="center"/>
    </xf>
    <xf numFmtId="0" fontId="4" fillId="0" borderId="0" xfId="0" applyFont="1"/>
    <xf numFmtId="3" fontId="0" fillId="2" borderId="3" xfId="0" applyNumberFormat="1" applyFill="1" applyBorder="1" applyAlignment="1">
      <alignment horizontal="right" vertical="center"/>
    </xf>
    <xf numFmtId="4" fontId="0" fillId="2" borderId="3" xfId="0" applyNumberForma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3" fontId="0" fillId="0" borderId="5" xfId="0" applyNumberForma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6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right" vertical="center"/>
    </xf>
    <xf numFmtId="49" fontId="0" fillId="0" borderId="8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right" vertical="center"/>
    </xf>
    <xf numFmtId="3" fontId="0" fillId="0" borderId="9" xfId="0" applyNumberFormat="1" applyBorder="1" applyAlignment="1">
      <alignment vertical="center"/>
    </xf>
    <xf numFmtId="4" fontId="0" fillId="0" borderId="9" xfId="0" applyNumberFormat="1" applyBorder="1" applyAlignment="1">
      <alignment vertical="center"/>
    </xf>
    <xf numFmtId="3" fontId="0" fillId="0" borderId="10" xfId="0" applyNumberFormat="1" applyBorder="1" applyAlignment="1">
      <alignment vertical="center"/>
    </xf>
    <xf numFmtId="49" fontId="2" fillId="2" borderId="7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9BEE82E-0B31-4D8A-8D63-23D43B4E4D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6"/>
  <sheetViews>
    <sheetView tabSelected="1" topLeftCell="A70" workbookViewId="0">
      <selection activeCell="A3" sqref="A3:P103"/>
    </sheetView>
  </sheetViews>
  <sheetFormatPr defaultRowHeight="12.75" x14ac:dyDescent="0.2"/>
  <cols>
    <col min="1" max="1" width="12.7109375" customWidth="1"/>
    <col min="2" max="2" width="21.7109375" style="1" customWidth="1"/>
    <col min="3" max="3" width="15.7109375" style="1" bestFit="1" customWidth="1"/>
    <col min="4" max="4" width="3.85546875" style="1" customWidth="1"/>
    <col min="5" max="7" width="11.28515625" style="7" customWidth="1"/>
    <col min="8" max="9" width="9.140625" style="1"/>
    <col min="10" max="10" width="11.7109375" style="2" customWidth="1"/>
    <col min="11" max="12" width="9.140625" style="2"/>
    <col min="13" max="16" width="9.140625" style="1"/>
  </cols>
  <sheetData>
    <row r="1" spans="1:16" ht="20.100000000000001" customHeight="1" x14ac:dyDescent="0.2">
      <c r="A1" s="5" t="s">
        <v>0</v>
      </c>
      <c r="K1"/>
      <c r="L1"/>
      <c r="M1"/>
      <c r="N1"/>
      <c r="O1"/>
      <c r="P1"/>
    </row>
    <row r="2" spans="1:16" ht="20.100000000000001" customHeight="1" thickBot="1" x14ac:dyDescent="0.25">
      <c r="A2" s="16" t="s">
        <v>1</v>
      </c>
      <c r="K2"/>
      <c r="L2"/>
      <c r="M2"/>
      <c r="N2"/>
      <c r="O2"/>
      <c r="P2"/>
    </row>
    <row r="3" spans="1:16" ht="27" customHeight="1" thickTop="1" thickBot="1" x14ac:dyDescent="0.25">
      <c r="A3" s="6" t="s">
        <v>2</v>
      </c>
      <c r="B3" s="3" t="s">
        <v>3</v>
      </c>
      <c r="C3" s="3" t="s">
        <v>4</v>
      </c>
      <c r="D3" s="3" t="s">
        <v>5</v>
      </c>
      <c r="E3" s="8" t="s">
        <v>6</v>
      </c>
      <c r="F3" s="8" t="s">
        <v>7</v>
      </c>
      <c r="G3" s="8" t="s">
        <v>8</v>
      </c>
      <c r="H3" s="3" t="s">
        <v>9</v>
      </c>
      <c r="I3" s="3" t="s">
        <v>10</v>
      </c>
      <c r="J3" s="4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ht="15" customHeight="1" thickTop="1" x14ac:dyDescent="0.2">
      <c r="A4" s="17" t="s">
        <v>18</v>
      </c>
      <c r="B4" s="18" t="s">
        <v>19</v>
      </c>
      <c r="C4" s="18" t="s">
        <v>20</v>
      </c>
      <c r="D4" s="19" t="s">
        <v>21</v>
      </c>
      <c r="E4" s="20" t="s">
        <v>22</v>
      </c>
      <c r="F4" s="20" t="s">
        <v>23</v>
      </c>
      <c r="G4" s="20" t="s">
        <v>24</v>
      </c>
      <c r="H4" s="9">
        <v>7</v>
      </c>
      <c r="I4" s="9">
        <v>7</v>
      </c>
      <c r="J4" s="10">
        <v>106486.53</v>
      </c>
      <c r="K4" s="10">
        <v>0.57999999999999996</v>
      </c>
      <c r="L4" s="10">
        <v>0</v>
      </c>
      <c r="M4" s="9">
        <v>11</v>
      </c>
      <c r="N4" s="9">
        <v>7</v>
      </c>
      <c r="O4" s="9">
        <v>3</v>
      </c>
      <c r="P4" s="15">
        <v>0</v>
      </c>
    </row>
    <row r="5" spans="1:16" ht="15" customHeight="1" x14ac:dyDescent="0.2">
      <c r="A5" s="21" t="s">
        <v>25</v>
      </c>
      <c r="B5" s="22" t="s">
        <v>19</v>
      </c>
      <c r="C5" s="22" t="s">
        <v>20</v>
      </c>
      <c r="D5" s="23" t="s">
        <v>21</v>
      </c>
      <c r="E5" s="24" t="s">
        <v>26</v>
      </c>
      <c r="F5" s="24" t="s">
        <v>27</v>
      </c>
      <c r="G5" s="24" t="s">
        <v>24</v>
      </c>
      <c r="H5" s="25">
        <v>8</v>
      </c>
      <c r="I5" s="25">
        <v>8</v>
      </c>
      <c r="J5" s="26">
        <v>386814.46</v>
      </c>
      <c r="K5" s="26">
        <v>3.54</v>
      </c>
      <c r="L5" s="26">
        <v>0</v>
      </c>
      <c r="M5" s="25">
        <v>46</v>
      </c>
      <c r="N5" s="25">
        <v>8</v>
      </c>
      <c r="O5" s="25">
        <v>7</v>
      </c>
      <c r="P5" s="27">
        <v>0</v>
      </c>
    </row>
    <row r="6" spans="1:16" ht="15" customHeight="1" x14ac:dyDescent="0.2">
      <c r="A6" s="21" t="s">
        <v>28</v>
      </c>
      <c r="B6" s="22" t="s">
        <v>29</v>
      </c>
      <c r="C6" s="22" t="s">
        <v>20</v>
      </c>
      <c r="D6" s="23" t="s">
        <v>21</v>
      </c>
      <c r="E6" s="24" t="s">
        <v>30</v>
      </c>
      <c r="F6" s="24" t="s">
        <v>31</v>
      </c>
      <c r="G6" s="24" t="s">
        <v>24</v>
      </c>
      <c r="H6" s="25">
        <v>4</v>
      </c>
      <c r="I6" s="25">
        <v>4</v>
      </c>
      <c r="J6" s="26">
        <v>230546.03</v>
      </c>
      <c r="K6" s="26">
        <v>1.26</v>
      </c>
      <c r="L6" s="26">
        <v>0</v>
      </c>
      <c r="M6" s="25">
        <v>21</v>
      </c>
      <c r="N6" s="25">
        <v>4</v>
      </c>
      <c r="O6" s="25">
        <v>4</v>
      </c>
      <c r="P6" s="27">
        <v>0</v>
      </c>
    </row>
    <row r="7" spans="1:16" ht="15" customHeight="1" x14ac:dyDescent="0.2">
      <c r="A7" s="21" t="s">
        <v>32</v>
      </c>
      <c r="B7" s="22" t="s">
        <v>29</v>
      </c>
      <c r="C7" s="22" t="s">
        <v>20</v>
      </c>
      <c r="D7" s="23" t="s">
        <v>21</v>
      </c>
      <c r="E7" s="24" t="s">
        <v>33</v>
      </c>
      <c r="F7" s="24" t="s">
        <v>23</v>
      </c>
      <c r="G7" s="24" t="s">
        <v>24</v>
      </c>
      <c r="H7" s="25">
        <v>3</v>
      </c>
      <c r="I7" s="25">
        <v>3</v>
      </c>
      <c r="J7" s="26">
        <v>270625.98</v>
      </c>
      <c r="K7" s="26">
        <v>2.12</v>
      </c>
      <c r="L7" s="26">
        <v>0</v>
      </c>
      <c r="M7" s="25">
        <v>31</v>
      </c>
      <c r="N7" s="25">
        <v>3</v>
      </c>
      <c r="O7" s="25">
        <v>3</v>
      </c>
      <c r="P7" s="27">
        <v>0</v>
      </c>
    </row>
    <row r="8" spans="1:16" ht="15" customHeight="1" x14ac:dyDescent="0.2">
      <c r="A8" s="21" t="s">
        <v>34</v>
      </c>
      <c r="B8" s="22" t="s">
        <v>29</v>
      </c>
      <c r="C8" s="22" t="s">
        <v>35</v>
      </c>
      <c r="D8" s="23" t="s">
        <v>21</v>
      </c>
      <c r="E8" s="24" t="s">
        <v>36</v>
      </c>
      <c r="F8" s="24" t="s">
        <v>37</v>
      </c>
      <c r="G8" s="24" t="s">
        <v>24</v>
      </c>
      <c r="H8" s="25">
        <v>3</v>
      </c>
      <c r="I8" s="25">
        <v>3</v>
      </c>
      <c r="J8" s="26">
        <v>104845.39</v>
      </c>
      <c r="K8" s="26">
        <v>2.14</v>
      </c>
      <c r="L8" s="26">
        <v>0</v>
      </c>
      <c r="M8" s="25">
        <v>21</v>
      </c>
      <c r="N8" s="25">
        <v>3</v>
      </c>
      <c r="O8" s="25">
        <v>3</v>
      </c>
      <c r="P8" s="27">
        <v>0</v>
      </c>
    </row>
    <row r="9" spans="1:16" ht="15" customHeight="1" x14ac:dyDescent="0.2">
      <c r="A9" s="21" t="s">
        <v>38</v>
      </c>
      <c r="B9" s="22" t="s">
        <v>29</v>
      </c>
      <c r="C9" s="22" t="s">
        <v>39</v>
      </c>
      <c r="D9" s="23" t="s">
        <v>21</v>
      </c>
      <c r="E9" s="24" t="s">
        <v>40</v>
      </c>
      <c r="F9" s="24" t="s">
        <v>41</v>
      </c>
      <c r="G9" s="24" t="s">
        <v>24</v>
      </c>
      <c r="H9" s="25">
        <v>1</v>
      </c>
      <c r="I9" s="25">
        <v>1</v>
      </c>
      <c r="J9" s="26">
        <v>56563.5</v>
      </c>
      <c r="K9" s="26">
        <v>2.04</v>
      </c>
      <c r="L9" s="26">
        <v>0</v>
      </c>
      <c r="M9" s="25">
        <v>26</v>
      </c>
      <c r="N9" s="25">
        <v>1</v>
      </c>
      <c r="O9" s="25">
        <v>1</v>
      </c>
      <c r="P9" s="27">
        <v>0</v>
      </c>
    </row>
    <row r="10" spans="1:16" ht="15" customHeight="1" x14ac:dyDescent="0.2">
      <c r="A10" s="21" t="s">
        <v>42</v>
      </c>
      <c r="B10" s="22" t="s">
        <v>29</v>
      </c>
      <c r="C10" s="22" t="s">
        <v>35</v>
      </c>
      <c r="D10" s="23" t="s">
        <v>21</v>
      </c>
      <c r="E10" s="24" t="s">
        <v>43</v>
      </c>
      <c r="F10" s="24" t="s">
        <v>27</v>
      </c>
      <c r="G10" s="24" t="s">
        <v>24</v>
      </c>
      <c r="H10" s="25">
        <v>3</v>
      </c>
      <c r="I10" s="25">
        <v>3</v>
      </c>
      <c r="J10" s="26">
        <v>164076.73000000001</v>
      </c>
      <c r="K10" s="26">
        <v>2.0499999999999998</v>
      </c>
      <c r="L10" s="26">
        <v>0</v>
      </c>
      <c r="M10" s="25">
        <v>27</v>
      </c>
      <c r="N10" s="25">
        <v>3</v>
      </c>
      <c r="O10" s="25">
        <v>3</v>
      </c>
      <c r="P10" s="27">
        <v>0</v>
      </c>
    </row>
    <row r="11" spans="1:16" ht="15" customHeight="1" x14ac:dyDescent="0.2">
      <c r="A11" s="21" t="s">
        <v>44</v>
      </c>
      <c r="B11" s="22" t="s">
        <v>19</v>
      </c>
      <c r="C11" s="22" t="s">
        <v>45</v>
      </c>
      <c r="D11" s="23" t="s">
        <v>21</v>
      </c>
      <c r="E11" s="24" t="s">
        <v>46</v>
      </c>
      <c r="F11" s="24" t="s">
        <v>47</v>
      </c>
      <c r="G11" s="24" t="s">
        <v>24</v>
      </c>
      <c r="H11" s="25">
        <v>6</v>
      </c>
      <c r="I11" s="25">
        <v>6</v>
      </c>
      <c r="J11" s="26">
        <v>63069.22</v>
      </c>
      <c r="K11" s="26">
        <v>2.0699999999999998</v>
      </c>
      <c r="L11" s="26">
        <v>0</v>
      </c>
      <c r="M11" s="25">
        <v>19</v>
      </c>
      <c r="N11" s="25">
        <v>6</v>
      </c>
      <c r="O11" s="25">
        <v>4</v>
      </c>
      <c r="P11" s="27">
        <v>0</v>
      </c>
    </row>
    <row r="12" spans="1:16" ht="15" customHeight="1" x14ac:dyDescent="0.2">
      <c r="A12" s="21" t="s">
        <v>48</v>
      </c>
      <c r="B12" s="22" t="s">
        <v>29</v>
      </c>
      <c r="C12" s="22" t="s">
        <v>35</v>
      </c>
      <c r="D12" s="23" t="s">
        <v>21</v>
      </c>
      <c r="E12" s="24" t="s">
        <v>49</v>
      </c>
      <c r="F12" s="24" t="s">
        <v>27</v>
      </c>
      <c r="G12" s="24" t="s">
        <v>24</v>
      </c>
      <c r="H12" s="25">
        <v>3</v>
      </c>
      <c r="I12" s="25">
        <v>3</v>
      </c>
      <c r="J12" s="26">
        <v>257716.59</v>
      </c>
      <c r="K12" s="26">
        <v>6.43</v>
      </c>
      <c r="L12" s="26">
        <v>0</v>
      </c>
      <c r="M12" s="25">
        <v>59</v>
      </c>
      <c r="N12" s="25">
        <v>3</v>
      </c>
      <c r="O12" s="25">
        <v>3</v>
      </c>
      <c r="P12" s="27">
        <v>0</v>
      </c>
    </row>
    <row r="13" spans="1:16" ht="15" customHeight="1" x14ac:dyDescent="0.2">
      <c r="A13" s="21" t="s">
        <v>50</v>
      </c>
      <c r="B13" s="22" t="s">
        <v>29</v>
      </c>
      <c r="C13" s="22" t="s">
        <v>35</v>
      </c>
      <c r="D13" s="23" t="s">
        <v>21</v>
      </c>
      <c r="E13" s="24" t="s">
        <v>51</v>
      </c>
      <c r="F13" s="24" t="s">
        <v>52</v>
      </c>
      <c r="G13" s="24" t="s">
        <v>24</v>
      </c>
      <c r="H13" s="25">
        <v>6</v>
      </c>
      <c r="I13" s="25">
        <v>6</v>
      </c>
      <c r="J13" s="26">
        <v>87496.83</v>
      </c>
      <c r="K13" s="26">
        <v>0.78</v>
      </c>
      <c r="L13" s="26">
        <v>0</v>
      </c>
      <c r="M13" s="25">
        <v>7</v>
      </c>
      <c r="N13" s="25">
        <v>6</v>
      </c>
      <c r="O13" s="25">
        <v>5</v>
      </c>
      <c r="P13" s="27">
        <v>0</v>
      </c>
    </row>
    <row r="14" spans="1:16" ht="15" customHeight="1" x14ac:dyDescent="0.2">
      <c r="A14" s="21" t="s">
        <v>53</v>
      </c>
      <c r="B14" s="22" t="s">
        <v>29</v>
      </c>
      <c r="C14" s="22" t="s">
        <v>39</v>
      </c>
      <c r="D14" s="23" t="s">
        <v>21</v>
      </c>
      <c r="E14" s="24" t="s">
        <v>54</v>
      </c>
      <c r="F14" s="24" t="s">
        <v>55</v>
      </c>
      <c r="G14" s="24" t="s">
        <v>24</v>
      </c>
      <c r="H14" s="25">
        <v>6</v>
      </c>
      <c r="I14" s="25">
        <v>6</v>
      </c>
      <c r="J14" s="26">
        <v>240510.36</v>
      </c>
      <c r="K14" s="26">
        <v>1.07</v>
      </c>
      <c r="L14" s="26">
        <v>0</v>
      </c>
      <c r="M14" s="25">
        <v>16</v>
      </c>
      <c r="N14" s="25">
        <v>6</v>
      </c>
      <c r="O14" s="25">
        <v>4</v>
      </c>
      <c r="P14" s="27">
        <v>0</v>
      </c>
    </row>
    <row r="15" spans="1:16" ht="15" customHeight="1" x14ac:dyDescent="0.2">
      <c r="A15" s="21" t="s">
        <v>56</v>
      </c>
      <c r="B15" s="22" t="s">
        <v>57</v>
      </c>
      <c r="C15" s="22" t="s">
        <v>35</v>
      </c>
      <c r="D15" s="23" t="s">
        <v>21</v>
      </c>
      <c r="E15" s="24" t="s">
        <v>58</v>
      </c>
      <c r="F15" s="24" t="s">
        <v>59</v>
      </c>
      <c r="G15" s="24" t="s">
        <v>24</v>
      </c>
      <c r="H15" s="25">
        <v>4</v>
      </c>
      <c r="I15" s="25">
        <v>4</v>
      </c>
      <c r="J15" s="26">
        <v>56081.34</v>
      </c>
      <c r="K15" s="26">
        <v>0.38</v>
      </c>
      <c r="L15" s="26">
        <v>0</v>
      </c>
      <c r="M15" s="25">
        <v>5</v>
      </c>
      <c r="N15" s="25">
        <v>4</v>
      </c>
      <c r="O15" s="25">
        <v>4</v>
      </c>
      <c r="P15" s="27">
        <v>0</v>
      </c>
    </row>
    <row r="16" spans="1:16" ht="15" customHeight="1" x14ac:dyDescent="0.2">
      <c r="A16" s="21" t="s">
        <v>60</v>
      </c>
      <c r="B16" s="22" t="s">
        <v>29</v>
      </c>
      <c r="C16" s="22" t="s">
        <v>45</v>
      </c>
      <c r="D16" s="23" t="s">
        <v>21</v>
      </c>
      <c r="E16" s="24" t="s">
        <v>61</v>
      </c>
      <c r="F16" s="24" t="s">
        <v>55</v>
      </c>
      <c r="G16" s="24" t="s">
        <v>24</v>
      </c>
      <c r="H16" s="25">
        <v>6</v>
      </c>
      <c r="I16" s="25">
        <v>6</v>
      </c>
      <c r="J16" s="26">
        <v>189095.25</v>
      </c>
      <c r="K16" s="26">
        <v>2.04</v>
      </c>
      <c r="L16" s="26">
        <v>0</v>
      </c>
      <c r="M16" s="25">
        <v>19</v>
      </c>
      <c r="N16" s="25">
        <v>6</v>
      </c>
      <c r="O16" s="25">
        <v>6</v>
      </c>
      <c r="P16" s="27">
        <v>0</v>
      </c>
    </row>
    <row r="17" spans="1:16" ht="15" customHeight="1" x14ac:dyDescent="0.2">
      <c r="A17" s="21" t="s">
        <v>62</v>
      </c>
      <c r="B17" s="22" t="s">
        <v>19</v>
      </c>
      <c r="C17" s="22" t="s">
        <v>39</v>
      </c>
      <c r="D17" s="23" t="s">
        <v>21</v>
      </c>
      <c r="E17" s="24" t="s">
        <v>63</v>
      </c>
      <c r="F17" s="24" t="s">
        <v>64</v>
      </c>
      <c r="G17" s="24" t="s">
        <v>65</v>
      </c>
      <c r="H17" s="25">
        <v>5</v>
      </c>
      <c r="I17" s="25">
        <v>5</v>
      </c>
      <c r="J17" s="26">
        <v>187100.89</v>
      </c>
      <c r="K17" s="26">
        <v>1.03</v>
      </c>
      <c r="L17" s="26">
        <v>0</v>
      </c>
      <c r="M17" s="25">
        <v>17</v>
      </c>
      <c r="N17" s="25">
        <v>5</v>
      </c>
      <c r="O17" s="25">
        <v>4</v>
      </c>
      <c r="P17" s="27">
        <v>0</v>
      </c>
    </row>
    <row r="18" spans="1:16" ht="15" customHeight="1" x14ac:dyDescent="0.2">
      <c r="A18" s="21" t="s">
        <v>66</v>
      </c>
      <c r="B18" s="22" t="s">
        <v>29</v>
      </c>
      <c r="C18" s="22" t="s">
        <v>45</v>
      </c>
      <c r="D18" s="23" t="s">
        <v>21</v>
      </c>
      <c r="E18" s="24" t="s">
        <v>67</v>
      </c>
      <c r="F18" s="24" t="s">
        <v>68</v>
      </c>
      <c r="G18" s="24" t="s">
        <v>24</v>
      </c>
      <c r="H18" s="25">
        <v>5</v>
      </c>
      <c r="I18" s="25">
        <v>5</v>
      </c>
      <c r="J18" s="26">
        <v>129122.43</v>
      </c>
      <c r="K18" s="26">
        <v>1.62</v>
      </c>
      <c r="L18" s="26">
        <v>0</v>
      </c>
      <c r="M18" s="25">
        <v>14</v>
      </c>
      <c r="N18" s="25">
        <v>5</v>
      </c>
      <c r="O18" s="25">
        <v>4</v>
      </c>
      <c r="P18" s="27">
        <v>0</v>
      </c>
    </row>
    <row r="19" spans="1:16" ht="15" customHeight="1" x14ac:dyDescent="0.2">
      <c r="A19" s="21" t="s">
        <v>69</v>
      </c>
      <c r="B19" s="22" t="s">
        <v>29</v>
      </c>
      <c r="C19" s="22" t="s">
        <v>70</v>
      </c>
      <c r="D19" s="23" t="s">
        <v>21</v>
      </c>
      <c r="E19" s="24" t="s">
        <v>71</v>
      </c>
      <c r="F19" s="24" t="s">
        <v>72</v>
      </c>
      <c r="G19" s="24" t="s">
        <v>73</v>
      </c>
      <c r="H19" s="25">
        <v>7</v>
      </c>
      <c r="I19" s="25">
        <v>7</v>
      </c>
      <c r="J19" s="26">
        <v>135871.20000000001</v>
      </c>
      <c r="K19" s="26">
        <v>0.65</v>
      </c>
      <c r="L19" s="26">
        <v>0</v>
      </c>
      <c r="M19" s="25">
        <v>8</v>
      </c>
      <c r="N19" s="25">
        <v>7</v>
      </c>
      <c r="O19" s="25">
        <v>5</v>
      </c>
      <c r="P19" s="27">
        <v>0</v>
      </c>
    </row>
    <row r="20" spans="1:16" ht="15" customHeight="1" x14ac:dyDescent="0.2">
      <c r="A20" s="21" t="s">
        <v>74</v>
      </c>
      <c r="B20" s="22" t="s">
        <v>29</v>
      </c>
      <c r="C20" s="22" t="s">
        <v>75</v>
      </c>
      <c r="D20" s="23" t="s">
        <v>21</v>
      </c>
      <c r="E20" s="24" t="s">
        <v>76</v>
      </c>
      <c r="F20" s="24" t="s">
        <v>72</v>
      </c>
      <c r="G20" s="24" t="s">
        <v>73</v>
      </c>
      <c r="H20" s="25">
        <v>1</v>
      </c>
      <c r="I20" s="25">
        <v>1</v>
      </c>
      <c r="J20" s="26">
        <v>28083.15</v>
      </c>
      <c r="K20" s="26">
        <v>0</v>
      </c>
      <c r="L20" s="26">
        <v>0</v>
      </c>
      <c r="M20" s="25">
        <v>0</v>
      </c>
      <c r="N20" s="25">
        <v>1</v>
      </c>
      <c r="O20" s="25">
        <v>1</v>
      </c>
      <c r="P20" s="27">
        <v>0</v>
      </c>
    </row>
    <row r="21" spans="1:16" ht="15" customHeight="1" x14ac:dyDescent="0.2">
      <c r="A21" s="21" t="s">
        <v>77</v>
      </c>
      <c r="B21" s="22" t="s">
        <v>29</v>
      </c>
      <c r="C21" s="22" t="s">
        <v>35</v>
      </c>
      <c r="D21" s="23" t="s">
        <v>21</v>
      </c>
      <c r="E21" s="24" t="s">
        <v>78</v>
      </c>
      <c r="F21" s="24" t="s">
        <v>52</v>
      </c>
      <c r="G21" s="24" t="s">
        <v>79</v>
      </c>
      <c r="H21" s="25">
        <v>16</v>
      </c>
      <c r="I21" s="25">
        <v>16</v>
      </c>
      <c r="J21" s="26">
        <v>119247.77</v>
      </c>
      <c r="K21" s="26">
        <v>1.96</v>
      </c>
      <c r="L21" s="26">
        <v>0</v>
      </c>
      <c r="M21" s="25">
        <v>23</v>
      </c>
      <c r="N21" s="25">
        <v>16</v>
      </c>
      <c r="O21" s="25">
        <v>4</v>
      </c>
      <c r="P21" s="27">
        <v>0</v>
      </c>
    </row>
    <row r="22" spans="1:16" ht="15" customHeight="1" x14ac:dyDescent="0.2">
      <c r="A22" s="21" t="s">
        <v>80</v>
      </c>
      <c r="B22" s="22" t="s">
        <v>29</v>
      </c>
      <c r="C22" s="22" t="s">
        <v>81</v>
      </c>
      <c r="D22" s="23" t="s">
        <v>21</v>
      </c>
      <c r="E22" s="24" t="s">
        <v>78</v>
      </c>
      <c r="F22" s="24" t="s">
        <v>55</v>
      </c>
      <c r="G22" s="24" t="s">
        <v>79</v>
      </c>
      <c r="H22" s="25">
        <v>4</v>
      </c>
      <c r="I22" s="25">
        <v>4</v>
      </c>
      <c r="J22" s="26">
        <v>184951.34</v>
      </c>
      <c r="K22" s="26">
        <v>2.77</v>
      </c>
      <c r="L22" s="26">
        <v>0</v>
      </c>
      <c r="M22" s="25">
        <v>21</v>
      </c>
      <c r="N22" s="25">
        <v>4</v>
      </c>
      <c r="O22" s="25">
        <v>4</v>
      </c>
      <c r="P22" s="27">
        <v>0</v>
      </c>
    </row>
    <row r="23" spans="1:16" ht="15" customHeight="1" x14ac:dyDescent="0.2">
      <c r="A23" s="21" t="s">
        <v>82</v>
      </c>
      <c r="B23" s="22" t="s">
        <v>57</v>
      </c>
      <c r="C23" s="22" t="s">
        <v>70</v>
      </c>
      <c r="D23" s="23" t="s">
        <v>21</v>
      </c>
      <c r="E23" s="24" t="s">
        <v>83</v>
      </c>
      <c r="F23" s="24" t="s">
        <v>52</v>
      </c>
      <c r="G23" s="24" t="s">
        <v>73</v>
      </c>
      <c r="H23" s="25">
        <v>1</v>
      </c>
      <c r="I23" s="25">
        <v>1</v>
      </c>
      <c r="J23" s="26">
        <v>28005.81</v>
      </c>
      <c r="K23" s="26">
        <v>0.26</v>
      </c>
      <c r="L23" s="26">
        <v>0</v>
      </c>
      <c r="M23" s="25">
        <v>3</v>
      </c>
      <c r="N23" s="25">
        <v>1</v>
      </c>
      <c r="O23" s="25">
        <v>1</v>
      </c>
      <c r="P23" s="27">
        <v>0</v>
      </c>
    </row>
    <row r="24" spans="1:16" ht="15" customHeight="1" x14ac:dyDescent="0.2">
      <c r="A24" s="21" t="s">
        <v>84</v>
      </c>
      <c r="B24" s="22" t="s">
        <v>57</v>
      </c>
      <c r="C24" s="22" t="s">
        <v>45</v>
      </c>
      <c r="D24" s="23" t="s">
        <v>21</v>
      </c>
      <c r="E24" s="24" t="s">
        <v>85</v>
      </c>
      <c r="F24" s="24" t="s">
        <v>86</v>
      </c>
      <c r="G24" s="24" t="s">
        <v>73</v>
      </c>
      <c r="H24" s="25">
        <v>2</v>
      </c>
      <c r="I24" s="25">
        <v>2</v>
      </c>
      <c r="J24" s="26">
        <v>47131.02</v>
      </c>
      <c r="K24" s="26">
        <v>0.31</v>
      </c>
      <c r="L24" s="26">
        <v>0</v>
      </c>
      <c r="M24" s="25">
        <v>3</v>
      </c>
      <c r="N24" s="25">
        <v>2</v>
      </c>
      <c r="O24" s="25">
        <v>2</v>
      </c>
      <c r="P24" s="27">
        <v>0</v>
      </c>
    </row>
    <row r="25" spans="1:16" ht="15" customHeight="1" x14ac:dyDescent="0.2">
      <c r="A25" s="21" t="s">
        <v>87</v>
      </c>
      <c r="B25" s="22" t="s">
        <v>29</v>
      </c>
      <c r="C25" s="22" t="s">
        <v>70</v>
      </c>
      <c r="D25" s="23" t="s">
        <v>21</v>
      </c>
      <c r="E25" s="24" t="s">
        <v>88</v>
      </c>
      <c r="F25" s="24" t="s">
        <v>89</v>
      </c>
      <c r="G25" s="24" t="s">
        <v>79</v>
      </c>
      <c r="H25" s="25">
        <v>3</v>
      </c>
      <c r="I25" s="25">
        <v>3</v>
      </c>
      <c r="J25" s="26">
        <v>40379.32</v>
      </c>
      <c r="K25" s="26">
        <v>0.23</v>
      </c>
      <c r="L25" s="26">
        <v>0</v>
      </c>
      <c r="M25" s="25">
        <v>4</v>
      </c>
      <c r="N25" s="25">
        <v>3</v>
      </c>
      <c r="O25" s="25">
        <v>3</v>
      </c>
      <c r="P25" s="27">
        <v>0</v>
      </c>
    </row>
    <row r="26" spans="1:16" ht="15" customHeight="1" x14ac:dyDescent="0.2">
      <c r="A26" s="21" t="s">
        <v>90</v>
      </c>
      <c r="B26" s="22" t="s">
        <v>29</v>
      </c>
      <c r="C26" s="22" t="s">
        <v>70</v>
      </c>
      <c r="D26" s="23" t="s">
        <v>21</v>
      </c>
      <c r="E26" s="24" t="s">
        <v>91</v>
      </c>
      <c r="F26" s="24" t="s">
        <v>92</v>
      </c>
      <c r="G26" s="24" t="s">
        <v>79</v>
      </c>
      <c r="H26" s="25">
        <v>2</v>
      </c>
      <c r="I26" s="25">
        <v>2</v>
      </c>
      <c r="J26" s="26">
        <v>69661.2</v>
      </c>
      <c r="K26" s="26">
        <v>0.84</v>
      </c>
      <c r="L26" s="26">
        <v>0</v>
      </c>
      <c r="M26" s="25">
        <v>10</v>
      </c>
      <c r="N26" s="25">
        <v>2</v>
      </c>
      <c r="O26" s="25">
        <v>2</v>
      </c>
      <c r="P26" s="27">
        <v>0</v>
      </c>
    </row>
    <row r="27" spans="1:16" ht="15" customHeight="1" x14ac:dyDescent="0.2">
      <c r="A27" s="21" t="s">
        <v>93</v>
      </c>
      <c r="B27" s="22" t="s">
        <v>57</v>
      </c>
      <c r="C27" s="22" t="s">
        <v>45</v>
      </c>
      <c r="D27" s="23" t="s">
        <v>21</v>
      </c>
      <c r="E27" s="24" t="s">
        <v>94</v>
      </c>
      <c r="F27" s="24" t="s">
        <v>95</v>
      </c>
      <c r="G27" s="24" t="s">
        <v>79</v>
      </c>
      <c r="H27" s="25">
        <v>2</v>
      </c>
      <c r="I27" s="25">
        <v>2</v>
      </c>
      <c r="J27" s="26">
        <v>116382.34</v>
      </c>
      <c r="K27" s="26">
        <v>1.27</v>
      </c>
      <c r="L27" s="26">
        <v>0</v>
      </c>
      <c r="M27" s="25">
        <v>9</v>
      </c>
      <c r="N27" s="25">
        <v>2</v>
      </c>
      <c r="O27" s="25">
        <v>2</v>
      </c>
      <c r="P27" s="27">
        <v>0</v>
      </c>
    </row>
    <row r="28" spans="1:16" ht="15" customHeight="1" x14ac:dyDescent="0.2">
      <c r="A28" s="21" t="s">
        <v>96</v>
      </c>
      <c r="B28" s="22" t="s">
        <v>57</v>
      </c>
      <c r="C28" s="22" t="s">
        <v>81</v>
      </c>
      <c r="D28" s="23" t="s">
        <v>21</v>
      </c>
      <c r="E28" s="24" t="s">
        <v>97</v>
      </c>
      <c r="F28" s="24" t="s">
        <v>98</v>
      </c>
      <c r="G28" s="24" t="s">
        <v>79</v>
      </c>
      <c r="H28" s="25">
        <v>2</v>
      </c>
      <c r="I28" s="25">
        <v>2</v>
      </c>
      <c r="J28" s="26">
        <v>48370.55</v>
      </c>
      <c r="K28" s="26">
        <v>0.47</v>
      </c>
      <c r="L28" s="26">
        <v>0</v>
      </c>
      <c r="M28" s="25">
        <v>6</v>
      </c>
      <c r="N28" s="25">
        <v>2</v>
      </c>
      <c r="O28" s="25">
        <v>2</v>
      </c>
      <c r="P28" s="27">
        <v>0</v>
      </c>
    </row>
    <row r="29" spans="1:16" ht="15" customHeight="1" x14ac:dyDescent="0.2">
      <c r="A29" s="21" t="s">
        <v>99</v>
      </c>
      <c r="B29" s="22" t="s">
        <v>29</v>
      </c>
      <c r="C29" s="22" t="s">
        <v>70</v>
      </c>
      <c r="D29" s="23" t="s">
        <v>21</v>
      </c>
      <c r="E29" s="24" t="s">
        <v>97</v>
      </c>
      <c r="F29" s="24" t="s">
        <v>52</v>
      </c>
      <c r="G29" s="24" t="s">
        <v>79</v>
      </c>
      <c r="H29" s="25">
        <v>1</v>
      </c>
      <c r="I29" s="25">
        <v>1</v>
      </c>
      <c r="J29" s="26">
        <v>30063.23</v>
      </c>
      <c r="K29" s="26">
        <v>0.23</v>
      </c>
      <c r="L29" s="26">
        <v>0</v>
      </c>
      <c r="M29" s="25">
        <v>3</v>
      </c>
      <c r="N29" s="25">
        <v>1</v>
      </c>
      <c r="O29" s="25">
        <v>1</v>
      </c>
      <c r="P29" s="27">
        <v>0</v>
      </c>
    </row>
    <row r="30" spans="1:16" ht="15" customHeight="1" x14ac:dyDescent="0.2">
      <c r="A30" s="21" t="s">
        <v>100</v>
      </c>
      <c r="B30" s="22" t="s">
        <v>57</v>
      </c>
      <c r="C30" s="22" t="s">
        <v>81</v>
      </c>
      <c r="D30" s="23" t="s">
        <v>21</v>
      </c>
      <c r="E30" s="24" t="s">
        <v>101</v>
      </c>
      <c r="F30" s="24" t="s">
        <v>98</v>
      </c>
      <c r="G30" s="24" t="s">
        <v>79</v>
      </c>
      <c r="H30" s="25">
        <v>1</v>
      </c>
      <c r="I30" s="25">
        <v>1</v>
      </c>
      <c r="J30" s="26">
        <v>18875.599999999999</v>
      </c>
      <c r="K30" s="26">
        <v>0.09</v>
      </c>
      <c r="L30" s="26">
        <v>0</v>
      </c>
      <c r="M30" s="25">
        <v>2</v>
      </c>
      <c r="N30" s="25">
        <v>1</v>
      </c>
      <c r="O30" s="25">
        <v>1</v>
      </c>
      <c r="P30" s="27">
        <v>0</v>
      </c>
    </row>
    <row r="31" spans="1:16" ht="15" customHeight="1" x14ac:dyDescent="0.2">
      <c r="A31" s="21" t="s">
        <v>102</v>
      </c>
      <c r="B31" s="22" t="s">
        <v>29</v>
      </c>
      <c r="C31" s="22" t="s">
        <v>70</v>
      </c>
      <c r="D31" s="23" t="s">
        <v>21</v>
      </c>
      <c r="E31" s="24" t="s">
        <v>103</v>
      </c>
      <c r="F31" s="24" t="s">
        <v>86</v>
      </c>
      <c r="G31" s="24" t="s">
        <v>79</v>
      </c>
      <c r="H31" s="25">
        <v>2</v>
      </c>
      <c r="I31" s="25">
        <v>2</v>
      </c>
      <c r="J31" s="26">
        <v>154192.29</v>
      </c>
      <c r="K31" s="26">
        <v>2.02</v>
      </c>
      <c r="L31" s="26">
        <v>0</v>
      </c>
      <c r="M31" s="25">
        <v>21</v>
      </c>
      <c r="N31" s="25">
        <v>2</v>
      </c>
      <c r="O31" s="25">
        <v>2</v>
      </c>
      <c r="P31" s="27">
        <v>0</v>
      </c>
    </row>
    <row r="32" spans="1:16" ht="15" customHeight="1" x14ac:dyDescent="0.2">
      <c r="A32" s="21" t="s">
        <v>104</v>
      </c>
      <c r="B32" s="22" t="s">
        <v>29</v>
      </c>
      <c r="C32" s="22" t="s">
        <v>35</v>
      </c>
      <c r="D32" s="23" t="s">
        <v>21</v>
      </c>
      <c r="E32" s="24" t="s">
        <v>105</v>
      </c>
      <c r="F32" s="24" t="s">
        <v>41</v>
      </c>
      <c r="G32" s="24" t="s">
        <v>79</v>
      </c>
      <c r="H32" s="25">
        <v>1</v>
      </c>
      <c r="I32" s="25">
        <v>1</v>
      </c>
      <c r="J32" s="26">
        <v>1352.75</v>
      </c>
      <c r="K32" s="26">
        <v>0</v>
      </c>
      <c r="L32" s="26">
        <v>0</v>
      </c>
      <c r="M32" s="25">
        <v>0</v>
      </c>
      <c r="N32" s="25">
        <v>1</v>
      </c>
      <c r="O32" s="25">
        <v>0</v>
      </c>
      <c r="P32" s="27">
        <v>0</v>
      </c>
    </row>
    <row r="33" spans="1:16" ht="15" customHeight="1" x14ac:dyDescent="0.2">
      <c r="A33" s="21" t="s">
        <v>106</v>
      </c>
      <c r="B33" s="22" t="s">
        <v>29</v>
      </c>
      <c r="C33" s="22" t="s">
        <v>35</v>
      </c>
      <c r="D33" s="23" t="s">
        <v>21</v>
      </c>
      <c r="E33" s="24" t="s">
        <v>107</v>
      </c>
      <c r="F33" s="24" t="s">
        <v>108</v>
      </c>
      <c r="G33" s="24" t="s">
        <v>79</v>
      </c>
      <c r="H33" s="25">
        <v>1</v>
      </c>
      <c r="I33" s="25">
        <v>1</v>
      </c>
      <c r="J33" s="26">
        <v>12995.37</v>
      </c>
      <c r="K33" s="26">
        <v>0</v>
      </c>
      <c r="L33" s="26">
        <v>0</v>
      </c>
      <c r="M33" s="25">
        <v>1</v>
      </c>
      <c r="N33" s="25">
        <v>1</v>
      </c>
      <c r="O33" s="25">
        <v>1</v>
      </c>
      <c r="P33" s="27">
        <v>0</v>
      </c>
    </row>
    <row r="34" spans="1:16" ht="15" customHeight="1" x14ac:dyDescent="0.2">
      <c r="A34" s="21" t="s">
        <v>109</v>
      </c>
      <c r="B34" s="22" t="s">
        <v>29</v>
      </c>
      <c r="C34" s="22" t="s">
        <v>45</v>
      </c>
      <c r="D34" s="23" t="s">
        <v>21</v>
      </c>
      <c r="E34" s="24" t="s">
        <v>110</v>
      </c>
      <c r="F34" s="24" t="s">
        <v>111</v>
      </c>
      <c r="G34" s="24" t="s">
        <v>79</v>
      </c>
      <c r="H34" s="25">
        <v>4</v>
      </c>
      <c r="I34" s="25">
        <v>4</v>
      </c>
      <c r="J34" s="26">
        <v>84535.84</v>
      </c>
      <c r="K34" s="26">
        <v>2.23</v>
      </c>
      <c r="L34" s="26">
        <v>0</v>
      </c>
      <c r="M34" s="25">
        <v>4</v>
      </c>
      <c r="N34" s="25">
        <v>4</v>
      </c>
      <c r="O34" s="25">
        <v>4</v>
      </c>
      <c r="P34" s="27">
        <v>0</v>
      </c>
    </row>
    <row r="35" spans="1:16" ht="15" customHeight="1" x14ac:dyDescent="0.2">
      <c r="A35" s="21" t="s">
        <v>112</v>
      </c>
      <c r="B35" s="22" t="s">
        <v>29</v>
      </c>
      <c r="C35" s="22" t="s">
        <v>75</v>
      </c>
      <c r="D35" s="23" t="s">
        <v>21</v>
      </c>
      <c r="E35" s="24" t="s">
        <v>113</v>
      </c>
      <c r="F35" s="24" t="s">
        <v>111</v>
      </c>
      <c r="G35" s="24" t="s">
        <v>79</v>
      </c>
      <c r="H35" s="25">
        <v>1</v>
      </c>
      <c r="I35" s="25">
        <v>1</v>
      </c>
      <c r="J35" s="26">
        <v>31601.56</v>
      </c>
      <c r="K35" s="26">
        <v>7.0000000000000007E-2</v>
      </c>
      <c r="L35" s="26">
        <v>0</v>
      </c>
      <c r="M35" s="25">
        <v>2</v>
      </c>
      <c r="N35" s="25">
        <v>1</v>
      </c>
      <c r="O35" s="25">
        <v>1</v>
      </c>
      <c r="P35" s="27">
        <v>0</v>
      </c>
    </row>
    <row r="36" spans="1:16" ht="15" customHeight="1" x14ac:dyDescent="0.2">
      <c r="A36" s="21" t="s">
        <v>114</v>
      </c>
      <c r="B36" s="22" t="s">
        <v>29</v>
      </c>
      <c r="C36" s="22" t="s">
        <v>35</v>
      </c>
      <c r="D36" s="23" t="s">
        <v>21</v>
      </c>
      <c r="E36" s="24" t="s">
        <v>115</v>
      </c>
      <c r="F36" s="24" t="s">
        <v>116</v>
      </c>
      <c r="G36" s="24" t="s">
        <v>79</v>
      </c>
      <c r="H36" s="25">
        <v>3</v>
      </c>
      <c r="I36" s="25">
        <v>3</v>
      </c>
      <c r="J36" s="26">
        <v>17088.62</v>
      </c>
      <c r="K36" s="26">
        <v>0</v>
      </c>
      <c r="L36" s="26">
        <v>0</v>
      </c>
      <c r="M36" s="25">
        <v>1</v>
      </c>
      <c r="N36" s="25">
        <v>3</v>
      </c>
      <c r="O36" s="25">
        <v>1</v>
      </c>
      <c r="P36" s="27">
        <v>0</v>
      </c>
    </row>
    <row r="37" spans="1:16" ht="15" customHeight="1" x14ac:dyDescent="0.2">
      <c r="A37" s="21" t="s">
        <v>117</v>
      </c>
      <c r="B37" s="22" t="s">
        <v>29</v>
      </c>
      <c r="C37" s="22" t="s">
        <v>45</v>
      </c>
      <c r="D37" s="23" t="s">
        <v>21</v>
      </c>
      <c r="E37" s="24" t="s">
        <v>118</v>
      </c>
      <c r="F37" s="24" t="s">
        <v>31</v>
      </c>
      <c r="G37" s="24" t="s">
        <v>79</v>
      </c>
      <c r="H37" s="25">
        <v>2</v>
      </c>
      <c r="I37" s="25">
        <v>2</v>
      </c>
      <c r="J37" s="26">
        <v>110097.89</v>
      </c>
      <c r="K37" s="26">
        <v>0.87</v>
      </c>
      <c r="L37" s="26">
        <v>0</v>
      </c>
      <c r="M37" s="25">
        <v>10</v>
      </c>
      <c r="N37" s="25">
        <v>2</v>
      </c>
      <c r="O37" s="25">
        <v>1</v>
      </c>
      <c r="P37" s="27">
        <v>0</v>
      </c>
    </row>
    <row r="38" spans="1:16" ht="15" customHeight="1" x14ac:dyDescent="0.2">
      <c r="A38" s="21" t="s">
        <v>119</v>
      </c>
      <c r="B38" s="22" t="s">
        <v>29</v>
      </c>
      <c r="C38" s="22" t="s">
        <v>35</v>
      </c>
      <c r="D38" s="23" t="s">
        <v>21</v>
      </c>
      <c r="E38" s="24" t="s">
        <v>118</v>
      </c>
      <c r="F38" s="24" t="s">
        <v>64</v>
      </c>
      <c r="G38" s="24" t="s">
        <v>79</v>
      </c>
      <c r="H38" s="25">
        <v>2</v>
      </c>
      <c r="I38" s="25">
        <v>2</v>
      </c>
      <c r="J38" s="26">
        <v>32911</v>
      </c>
      <c r="K38" s="26">
        <v>0.17</v>
      </c>
      <c r="L38" s="26">
        <v>0</v>
      </c>
      <c r="M38" s="25">
        <v>5</v>
      </c>
      <c r="N38" s="25">
        <v>2</v>
      </c>
      <c r="O38" s="25">
        <v>2</v>
      </c>
      <c r="P38" s="27">
        <v>0</v>
      </c>
    </row>
    <row r="39" spans="1:16" ht="15" customHeight="1" x14ac:dyDescent="0.2">
      <c r="A39" s="21" t="s">
        <v>120</v>
      </c>
      <c r="B39" s="22" t="s">
        <v>29</v>
      </c>
      <c r="C39" s="22" t="s">
        <v>70</v>
      </c>
      <c r="D39" s="23" t="s">
        <v>21</v>
      </c>
      <c r="E39" s="24" t="s">
        <v>121</v>
      </c>
      <c r="F39" s="24" t="s">
        <v>23</v>
      </c>
      <c r="G39" s="24" t="s">
        <v>79</v>
      </c>
      <c r="H39" s="25">
        <v>5</v>
      </c>
      <c r="I39" s="25">
        <v>5</v>
      </c>
      <c r="J39" s="26">
        <v>83052.7</v>
      </c>
      <c r="K39" s="26">
        <v>0.37</v>
      </c>
      <c r="L39" s="26">
        <v>0</v>
      </c>
      <c r="M39" s="25">
        <v>7</v>
      </c>
      <c r="N39" s="25">
        <v>5</v>
      </c>
      <c r="O39" s="25">
        <v>4</v>
      </c>
      <c r="P39" s="27">
        <v>0</v>
      </c>
    </row>
    <row r="40" spans="1:16" ht="15" customHeight="1" x14ac:dyDescent="0.2">
      <c r="A40" s="21" t="s">
        <v>122</v>
      </c>
      <c r="B40" s="22" t="s">
        <v>29</v>
      </c>
      <c r="C40" s="22" t="s">
        <v>45</v>
      </c>
      <c r="D40" s="23" t="s">
        <v>21</v>
      </c>
      <c r="E40" s="24" t="s">
        <v>123</v>
      </c>
      <c r="F40" s="24" t="s">
        <v>92</v>
      </c>
      <c r="G40" s="24" t="s">
        <v>79</v>
      </c>
      <c r="H40" s="25">
        <v>3</v>
      </c>
      <c r="I40" s="25">
        <v>3</v>
      </c>
      <c r="J40" s="26">
        <v>33611.230000000003</v>
      </c>
      <c r="K40" s="26">
        <v>0</v>
      </c>
      <c r="L40" s="26">
        <v>0</v>
      </c>
      <c r="M40" s="25">
        <v>2</v>
      </c>
      <c r="N40" s="25">
        <v>3</v>
      </c>
      <c r="O40" s="25">
        <v>2</v>
      </c>
      <c r="P40" s="27">
        <v>0</v>
      </c>
    </row>
    <row r="41" spans="1:16" ht="15" customHeight="1" x14ac:dyDescent="0.2">
      <c r="A41" s="21" t="s">
        <v>124</v>
      </c>
      <c r="B41" s="22" t="s">
        <v>57</v>
      </c>
      <c r="C41" s="22" t="s">
        <v>125</v>
      </c>
      <c r="D41" s="23" t="s">
        <v>21</v>
      </c>
      <c r="E41" s="24" t="s">
        <v>126</v>
      </c>
      <c r="F41" s="24" t="s">
        <v>52</v>
      </c>
      <c r="G41" s="24" t="s">
        <v>79</v>
      </c>
      <c r="H41" s="25">
        <v>1</v>
      </c>
      <c r="I41" s="25">
        <v>1</v>
      </c>
      <c r="J41" s="26">
        <v>20772.43</v>
      </c>
      <c r="K41" s="26">
        <v>0.18</v>
      </c>
      <c r="L41" s="26">
        <v>0</v>
      </c>
      <c r="M41" s="25">
        <v>2</v>
      </c>
      <c r="N41" s="25">
        <v>1</v>
      </c>
      <c r="O41" s="25">
        <v>1</v>
      </c>
      <c r="P41" s="27">
        <v>0</v>
      </c>
    </row>
    <row r="42" spans="1:16" ht="15" customHeight="1" x14ac:dyDescent="0.2">
      <c r="A42" s="21" t="s">
        <v>127</v>
      </c>
      <c r="B42" s="22" t="s">
        <v>29</v>
      </c>
      <c r="C42" s="22" t="s">
        <v>125</v>
      </c>
      <c r="D42" s="23" t="s">
        <v>21</v>
      </c>
      <c r="E42" s="24" t="s">
        <v>128</v>
      </c>
      <c r="F42" s="24" t="s">
        <v>55</v>
      </c>
      <c r="G42" s="24" t="s">
        <v>79</v>
      </c>
      <c r="H42" s="25">
        <v>3</v>
      </c>
      <c r="I42" s="25">
        <v>3</v>
      </c>
      <c r="J42" s="26">
        <v>93218.01</v>
      </c>
      <c r="K42" s="26">
        <v>1.04</v>
      </c>
      <c r="L42" s="26">
        <v>0</v>
      </c>
      <c r="M42" s="25">
        <v>12</v>
      </c>
      <c r="N42" s="25">
        <v>3</v>
      </c>
      <c r="O42" s="25">
        <v>3</v>
      </c>
      <c r="P42" s="27">
        <v>0</v>
      </c>
    </row>
    <row r="43" spans="1:16" ht="15" customHeight="1" x14ac:dyDescent="0.2">
      <c r="A43" s="21" t="s">
        <v>129</v>
      </c>
      <c r="B43" s="22" t="s">
        <v>29</v>
      </c>
      <c r="C43" s="22" t="s">
        <v>125</v>
      </c>
      <c r="D43" s="23" t="s">
        <v>21</v>
      </c>
      <c r="E43" s="24" t="s">
        <v>128</v>
      </c>
      <c r="F43" s="24" t="s">
        <v>130</v>
      </c>
      <c r="G43" s="24" t="s">
        <v>79</v>
      </c>
      <c r="H43" s="25">
        <v>3</v>
      </c>
      <c r="I43" s="25">
        <v>3</v>
      </c>
      <c r="J43" s="26">
        <v>68291.33</v>
      </c>
      <c r="K43" s="26">
        <v>0.33</v>
      </c>
      <c r="L43" s="26">
        <v>0</v>
      </c>
      <c r="M43" s="25">
        <v>5</v>
      </c>
      <c r="N43" s="25">
        <v>3</v>
      </c>
      <c r="O43" s="25">
        <v>3</v>
      </c>
      <c r="P43" s="27">
        <v>0</v>
      </c>
    </row>
    <row r="44" spans="1:16" ht="15" customHeight="1" x14ac:dyDescent="0.2">
      <c r="A44" s="21" t="s">
        <v>131</v>
      </c>
      <c r="B44" s="22" t="s">
        <v>29</v>
      </c>
      <c r="C44" s="22" t="s">
        <v>39</v>
      </c>
      <c r="D44" s="23" t="s">
        <v>21</v>
      </c>
      <c r="E44" s="24" t="s">
        <v>132</v>
      </c>
      <c r="F44" s="24" t="s">
        <v>31</v>
      </c>
      <c r="G44" s="24" t="s">
        <v>79</v>
      </c>
      <c r="H44" s="25">
        <v>2</v>
      </c>
      <c r="I44" s="25">
        <v>2</v>
      </c>
      <c r="J44" s="26">
        <v>184938.88</v>
      </c>
      <c r="K44" s="26">
        <v>1.34</v>
      </c>
      <c r="L44" s="26">
        <v>0</v>
      </c>
      <c r="M44" s="25">
        <v>14</v>
      </c>
      <c r="N44" s="25">
        <v>2</v>
      </c>
      <c r="O44" s="25">
        <v>2</v>
      </c>
      <c r="P44" s="27">
        <v>0</v>
      </c>
    </row>
    <row r="45" spans="1:16" ht="15" customHeight="1" x14ac:dyDescent="0.2">
      <c r="A45" s="21" t="s">
        <v>133</v>
      </c>
      <c r="B45" s="22" t="s">
        <v>29</v>
      </c>
      <c r="C45" s="22" t="s">
        <v>70</v>
      </c>
      <c r="D45" s="23" t="s">
        <v>21</v>
      </c>
      <c r="E45" s="24" t="s">
        <v>132</v>
      </c>
      <c r="F45" s="24" t="s">
        <v>68</v>
      </c>
      <c r="G45" s="24" t="s">
        <v>79</v>
      </c>
      <c r="H45" s="25">
        <v>4</v>
      </c>
      <c r="I45" s="25">
        <v>4</v>
      </c>
      <c r="J45" s="26">
        <v>62903.42</v>
      </c>
      <c r="K45" s="26">
        <v>0.08</v>
      </c>
      <c r="L45" s="26">
        <v>0</v>
      </c>
      <c r="M45" s="25">
        <v>3</v>
      </c>
      <c r="N45" s="25">
        <v>4</v>
      </c>
      <c r="O45" s="25">
        <v>1</v>
      </c>
      <c r="P45" s="27">
        <v>0</v>
      </c>
    </row>
    <row r="46" spans="1:16" ht="15" customHeight="1" x14ac:dyDescent="0.2">
      <c r="A46" s="21" t="s">
        <v>134</v>
      </c>
      <c r="B46" s="22" t="s">
        <v>29</v>
      </c>
      <c r="C46" s="22" t="s">
        <v>70</v>
      </c>
      <c r="D46" s="23" t="s">
        <v>21</v>
      </c>
      <c r="E46" s="24" t="s">
        <v>135</v>
      </c>
      <c r="F46" s="24" t="s">
        <v>64</v>
      </c>
      <c r="G46" s="24" t="s">
        <v>79</v>
      </c>
      <c r="H46" s="25">
        <v>3</v>
      </c>
      <c r="I46" s="25">
        <v>3</v>
      </c>
      <c r="J46" s="26">
        <v>40876.559999999998</v>
      </c>
      <c r="K46" s="26">
        <v>0.24</v>
      </c>
      <c r="L46" s="26">
        <v>0</v>
      </c>
      <c r="M46" s="25">
        <v>4</v>
      </c>
      <c r="N46" s="25">
        <v>3</v>
      </c>
      <c r="O46" s="25">
        <v>3</v>
      </c>
      <c r="P46" s="27">
        <v>0</v>
      </c>
    </row>
    <row r="47" spans="1:16" ht="15" customHeight="1" x14ac:dyDescent="0.2">
      <c r="A47" s="21" t="s">
        <v>136</v>
      </c>
      <c r="B47" s="22" t="s">
        <v>29</v>
      </c>
      <c r="C47" s="22" t="s">
        <v>125</v>
      </c>
      <c r="D47" s="23" t="s">
        <v>21</v>
      </c>
      <c r="E47" s="24" t="s">
        <v>137</v>
      </c>
      <c r="F47" s="24" t="s">
        <v>138</v>
      </c>
      <c r="G47" s="24" t="s">
        <v>79</v>
      </c>
      <c r="H47" s="25">
        <v>2</v>
      </c>
      <c r="I47" s="25">
        <v>2</v>
      </c>
      <c r="J47" s="26">
        <v>48058.8</v>
      </c>
      <c r="K47" s="26">
        <v>0.43</v>
      </c>
      <c r="L47" s="26">
        <v>0</v>
      </c>
      <c r="M47" s="25">
        <v>6</v>
      </c>
      <c r="N47" s="25">
        <v>2</v>
      </c>
      <c r="O47" s="25">
        <v>2</v>
      </c>
      <c r="P47" s="27">
        <v>0</v>
      </c>
    </row>
    <row r="48" spans="1:16" ht="15" customHeight="1" x14ac:dyDescent="0.2">
      <c r="A48" s="21" t="s">
        <v>139</v>
      </c>
      <c r="B48" s="22" t="s">
        <v>29</v>
      </c>
      <c r="C48" s="22" t="s">
        <v>70</v>
      </c>
      <c r="D48" s="23" t="s">
        <v>21</v>
      </c>
      <c r="E48" s="24" t="s">
        <v>140</v>
      </c>
      <c r="F48" s="24" t="s">
        <v>41</v>
      </c>
      <c r="G48" s="24" t="s">
        <v>79</v>
      </c>
      <c r="H48" s="25">
        <v>3</v>
      </c>
      <c r="I48" s="25">
        <v>3</v>
      </c>
      <c r="J48" s="26">
        <v>142075.45000000001</v>
      </c>
      <c r="K48" s="26">
        <v>2.31</v>
      </c>
      <c r="L48" s="26">
        <v>0</v>
      </c>
      <c r="M48" s="25">
        <v>23</v>
      </c>
      <c r="N48" s="25">
        <v>3</v>
      </c>
      <c r="O48" s="25">
        <v>3</v>
      </c>
      <c r="P48" s="27">
        <v>0</v>
      </c>
    </row>
    <row r="49" spans="1:16" ht="15" customHeight="1" x14ac:dyDescent="0.2">
      <c r="A49" s="21" t="s">
        <v>141</v>
      </c>
      <c r="B49" s="22" t="s">
        <v>29</v>
      </c>
      <c r="C49" s="22" t="s">
        <v>70</v>
      </c>
      <c r="D49" s="23" t="s">
        <v>21</v>
      </c>
      <c r="E49" s="24" t="s">
        <v>142</v>
      </c>
      <c r="F49" s="24" t="s">
        <v>143</v>
      </c>
      <c r="G49" s="24" t="s">
        <v>79</v>
      </c>
      <c r="H49" s="25">
        <v>4</v>
      </c>
      <c r="I49" s="25">
        <v>4</v>
      </c>
      <c r="J49" s="26">
        <v>92505.02</v>
      </c>
      <c r="K49" s="26">
        <v>0.34</v>
      </c>
      <c r="L49" s="26">
        <v>0</v>
      </c>
      <c r="M49" s="25">
        <v>5</v>
      </c>
      <c r="N49" s="25">
        <v>4</v>
      </c>
      <c r="O49" s="25">
        <v>4</v>
      </c>
      <c r="P49" s="27">
        <v>0</v>
      </c>
    </row>
    <row r="50" spans="1:16" ht="15" customHeight="1" x14ac:dyDescent="0.2">
      <c r="A50" s="21" t="s">
        <v>144</v>
      </c>
      <c r="B50" s="22" t="s">
        <v>29</v>
      </c>
      <c r="C50" s="22" t="s">
        <v>145</v>
      </c>
      <c r="D50" s="23" t="s">
        <v>21</v>
      </c>
      <c r="E50" s="24" t="s">
        <v>146</v>
      </c>
      <c r="F50" s="24" t="s">
        <v>147</v>
      </c>
      <c r="G50" s="24" t="s">
        <v>148</v>
      </c>
      <c r="H50" s="25">
        <v>1</v>
      </c>
      <c r="I50" s="25">
        <v>1</v>
      </c>
      <c r="J50" s="26">
        <v>15260.9</v>
      </c>
      <c r="K50" s="26">
        <v>0.12</v>
      </c>
      <c r="L50" s="26">
        <v>0</v>
      </c>
      <c r="M50" s="25">
        <v>1</v>
      </c>
      <c r="N50" s="25">
        <v>1</v>
      </c>
      <c r="O50" s="25">
        <v>1</v>
      </c>
      <c r="P50" s="27">
        <v>0</v>
      </c>
    </row>
    <row r="51" spans="1:16" ht="15" customHeight="1" x14ac:dyDescent="0.2">
      <c r="A51" s="21" t="s">
        <v>149</v>
      </c>
      <c r="B51" s="22" t="s">
        <v>57</v>
      </c>
      <c r="C51" s="22" t="s">
        <v>125</v>
      </c>
      <c r="D51" s="23" t="s">
        <v>21</v>
      </c>
      <c r="E51" s="24" t="s">
        <v>150</v>
      </c>
      <c r="F51" s="24" t="s">
        <v>116</v>
      </c>
      <c r="G51" s="24" t="s">
        <v>79</v>
      </c>
      <c r="H51" s="25">
        <v>1</v>
      </c>
      <c r="I51" s="25">
        <v>1</v>
      </c>
      <c r="J51" s="26">
        <v>19637.32</v>
      </c>
      <c r="K51" s="26">
        <v>0.16</v>
      </c>
      <c r="L51" s="26">
        <v>0</v>
      </c>
      <c r="M51" s="25">
        <v>2</v>
      </c>
      <c r="N51" s="25">
        <v>1</v>
      </c>
      <c r="O51" s="25">
        <v>1</v>
      </c>
      <c r="P51" s="27">
        <v>0</v>
      </c>
    </row>
    <row r="52" spans="1:16" ht="15" customHeight="1" x14ac:dyDescent="0.2">
      <c r="A52" s="21" t="s">
        <v>151</v>
      </c>
      <c r="B52" s="22" t="s">
        <v>29</v>
      </c>
      <c r="C52" s="22" t="s">
        <v>81</v>
      </c>
      <c r="D52" s="23" t="s">
        <v>21</v>
      </c>
      <c r="E52" s="24" t="s">
        <v>152</v>
      </c>
      <c r="F52" s="24" t="s">
        <v>55</v>
      </c>
      <c r="G52" s="24" t="s">
        <v>79</v>
      </c>
      <c r="H52" s="25">
        <v>6</v>
      </c>
      <c r="I52" s="25">
        <v>6</v>
      </c>
      <c r="J52" s="26">
        <v>302506.15000000002</v>
      </c>
      <c r="K52" s="26">
        <v>4.07</v>
      </c>
      <c r="L52" s="26">
        <v>0</v>
      </c>
      <c r="M52" s="25">
        <v>32</v>
      </c>
      <c r="N52" s="25">
        <v>6</v>
      </c>
      <c r="O52" s="25">
        <v>6</v>
      </c>
      <c r="P52" s="27">
        <v>0</v>
      </c>
    </row>
    <row r="53" spans="1:16" ht="15" customHeight="1" x14ac:dyDescent="0.2">
      <c r="A53" s="21" t="s">
        <v>153</v>
      </c>
      <c r="B53" s="22" t="s">
        <v>29</v>
      </c>
      <c r="C53" s="22" t="s">
        <v>45</v>
      </c>
      <c r="D53" s="23" t="s">
        <v>21</v>
      </c>
      <c r="E53" s="24" t="s">
        <v>137</v>
      </c>
      <c r="F53" s="24" t="s">
        <v>86</v>
      </c>
      <c r="G53" s="24" t="s">
        <v>79</v>
      </c>
      <c r="H53" s="25">
        <v>2</v>
      </c>
      <c r="I53" s="25">
        <v>2</v>
      </c>
      <c r="J53" s="26">
        <v>60282.62</v>
      </c>
      <c r="K53" s="26">
        <v>0.24</v>
      </c>
      <c r="L53" s="26">
        <v>0</v>
      </c>
      <c r="M53" s="25">
        <v>3</v>
      </c>
      <c r="N53" s="25">
        <v>2</v>
      </c>
      <c r="O53" s="25">
        <v>2</v>
      </c>
      <c r="P53" s="27">
        <v>0</v>
      </c>
    </row>
    <row r="54" spans="1:16" ht="15" customHeight="1" x14ac:dyDescent="0.2">
      <c r="A54" s="21" t="s">
        <v>154</v>
      </c>
      <c r="B54" s="22" t="s">
        <v>29</v>
      </c>
      <c r="C54" s="22" t="s">
        <v>125</v>
      </c>
      <c r="D54" s="23" t="s">
        <v>21</v>
      </c>
      <c r="E54" s="24" t="s">
        <v>155</v>
      </c>
      <c r="F54" s="24" t="s">
        <v>156</v>
      </c>
      <c r="G54" s="24" t="s">
        <v>79</v>
      </c>
      <c r="H54" s="25">
        <v>12</v>
      </c>
      <c r="I54" s="25">
        <v>12</v>
      </c>
      <c r="J54" s="26">
        <v>304342.59999999998</v>
      </c>
      <c r="K54" s="26">
        <v>3.36</v>
      </c>
      <c r="L54" s="26">
        <v>0</v>
      </c>
      <c r="M54" s="25">
        <v>25</v>
      </c>
      <c r="N54" s="25">
        <v>12</v>
      </c>
      <c r="O54" s="25">
        <v>12</v>
      </c>
      <c r="P54" s="27">
        <v>0</v>
      </c>
    </row>
    <row r="55" spans="1:16" ht="15" customHeight="1" x14ac:dyDescent="0.2">
      <c r="A55" s="21" t="s">
        <v>157</v>
      </c>
      <c r="B55" s="22" t="s">
        <v>29</v>
      </c>
      <c r="C55" s="22" t="s">
        <v>158</v>
      </c>
      <c r="D55" s="23" t="s">
        <v>21</v>
      </c>
      <c r="E55" s="24" t="s">
        <v>159</v>
      </c>
      <c r="F55" s="24" t="s">
        <v>52</v>
      </c>
      <c r="G55" s="24" t="s">
        <v>79</v>
      </c>
      <c r="H55" s="25">
        <v>4</v>
      </c>
      <c r="I55" s="25">
        <v>4</v>
      </c>
      <c r="J55" s="26">
        <v>68249.84</v>
      </c>
      <c r="K55" s="26">
        <v>0.28000000000000003</v>
      </c>
      <c r="L55" s="26">
        <v>0</v>
      </c>
      <c r="M55" s="25">
        <v>7</v>
      </c>
      <c r="N55" s="25">
        <v>4</v>
      </c>
      <c r="O55" s="25">
        <v>4</v>
      </c>
      <c r="P55" s="27">
        <v>0</v>
      </c>
    </row>
    <row r="56" spans="1:16" ht="15" customHeight="1" x14ac:dyDescent="0.2">
      <c r="A56" s="21" t="s">
        <v>160</v>
      </c>
      <c r="B56" s="22" t="s">
        <v>29</v>
      </c>
      <c r="C56" s="22" t="s">
        <v>70</v>
      </c>
      <c r="D56" s="23" t="s">
        <v>21</v>
      </c>
      <c r="E56" s="24" t="s">
        <v>161</v>
      </c>
      <c r="F56" s="24" t="s">
        <v>111</v>
      </c>
      <c r="G56" s="24" t="s">
        <v>79</v>
      </c>
      <c r="H56" s="25">
        <v>3</v>
      </c>
      <c r="I56" s="25">
        <v>3</v>
      </c>
      <c r="J56" s="26">
        <v>33903.29</v>
      </c>
      <c r="K56" s="26">
        <v>0.06</v>
      </c>
      <c r="L56" s="26">
        <v>0</v>
      </c>
      <c r="M56" s="25">
        <v>2</v>
      </c>
      <c r="N56" s="25">
        <v>3</v>
      </c>
      <c r="O56" s="25">
        <v>2</v>
      </c>
      <c r="P56" s="27">
        <v>0</v>
      </c>
    </row>
    <row r="57" spans="1:16" ht="15" customHeight="1" x14ac:dyDescent="0.2">
      <c r="A57" s="21" t="s">
        <v>162</v>
      </c>
      <c r="B57" s="22" t="s">
        <v>57</v>
      </c>
      <c r="C57" s="22" t="s">
        <v>125</v>
      </c>
      <c r="D57" s="23" t="s">
        <v>21</v>
      </c>
      <c r="E57" s="24" t="s">
        <v>161</v>
      </c>
      <c r="F57" s="24" t="s">
        <v>138</v>
      </c>
      <c r="G57" s="24" t="s">
        <v>79</v>
      </c>
      <c r="H57" s="25">
        <v>1</v>
      </c>
      <c r="I57" s="25">
        <v>1</v>
      </c>
      <c r="J57" s="26">
        <v>41631</v>
      </c>
      <c r="K57" s="26">
        <v>0.46</v>
      </c>
      <c r="L57" s="26">
        <v>0</v>
      </c>
      <c r="M57" s="25">
        <v>6</v>
      </c>
      <c r="N57" s="25">
        <v>1</v>
      </c>
      <c r="O57" s="25">
        <v>1</v>
      </c>
      <c r="P57" s="27">
        <v>0</v>
      </c>
    </row>
    <row r="58" spans="1:16" ht="15" customHeight="1" x14ac:dyDescent="0.2">
      <c r="A58" s="21" t="s">
        <v>163</v>
      </c>
      <c r="B58" s="22" t="s">
        <v>29</v>
      </c>
      <c r="C58" s="22" t="s">
        <v>39</v>
      </c>
      <c r="D58" s="23" t="s">
        <v>21</v>
      </c>
      <c r="E58" s="24" t="s">
        <v>164</v>
      </c>
      <c r="F58" s="24" t="s">
        <v>41</v>
      </c>
      <c r="G58" s="24" t="s">
        <v>24</v>
      </c>
      <c r="H58" s="25">
        <v>5</v>
      </c>
      <c r="I58" s="25">
        <v>5</v>
      </c>
      <c r="J58" s="26">
        <v>101032.32000000001</v>
      </c>
      <c r="K58" s="26">
        <v>1.87</v>
      </c>
      <c r="L58" s="26">
        <v>0</v>
      </c>
      <c r="M58" s="25">
        <v>21</v>
      </c>
      <c r="N58" s="25">
        <v>5</v>
      </c>
      <c r="O58" s="25">
        <v>5</v>
      </c>
      <c r="P58" s="27">
        <v>0</v>
      </c>
    </row>
    <row r="59" spans="1:16" ht="15" customHeight="1" x14ac:dyDescent="0.2">
      <c r="A59" s="21" t="s">
        <v>165</v>
      </c>
      <c r="B59" s="22" t="s">
        <v>57</v>
      </c>
      <c r="C59" s="22" t="s">
        <v>125</v>
      </c>
      <c r="D59" s="23" t="s">
        <v>21</v>
      </c>
      <c r="E59" s="24" t="s">
        <v>76</v>
      </c>
      <c r="F59" s="24" t="s">
        <v>68</v>
      </c>
      <c r="G59" s="24" t="s">
        <v>79</v>
      </c>
      <c r="H59" s="25">
        <v>1</v>
      </c>
      <c r="I59" s="25">
        <v>1</v>
      </c>
      <c r="J59" s="26">
        <v>25392.91</v>
      </c>
      <c r="K59" s="26">
        <v>0.18</v>
      </c>
      <c r="L59" s="26">
        <v>0</v>
      </c>
      <c r="M59" s="25">
        <v>2</v>
      </c>
      <c r="N59" s="25">
        <v>1</v>
      </c>
      <c r="O59" s="25">
        <v>1</v>
      </c>
      <c r="P59" s="27">
        <v>0</v>
      </c>
    </row>
    <row r="60" spans="1:16" ht="15" customHeight="1" x14ac:dyDescent="0.2">
      <c r="A60" s="21" t="s">
        <v>166</v>
      </c>
      <c r="B60" s="22" t="s">
        <v>57</v>
      </c>
      <c r="C60" s="22" t="s">
        <v>75</v>
      </c>
      <c r="D60" s="23" t="s">
        <v>21</v>
      </c>
      <c r="E60" s="24" t="s">
        <v>167</v>
      </c>
      <c r="F60" s="24" t="s">
        <v>111</v>
      </c>
      <c r="G60" s="24" t="s">
        <v>79</v>
      </c>
      <c r="H60" s="25">
        <v>1</v>
      </c>
      <c r="I60" s="25">
        <v>1</v>
      </c>
      <c r="J60" s="26">
        <v>40103.35</v>
      </c>
      <c r="K60" s="26">
        <v>0.27</v>
      </c>
      <c r="L60" s="26">
        <v>0</v>
      </c>
      <c r="M60" s="25">
        <v>3</v>
      </c>
      <c r="N60" s="25">
        <v>1</v>
      </c>
      <c r="O60" s="25">
        <v>1</v>
      </c>
      <c r="P60" s="27">
        <v>0</v>
      </c>
    </row>
    <row r="61" spans="1:16" ht="15" customHeight="1" x14ac:dyDescent="0.2">
      <c r="A61" s="21" t="s">
        <v>168</v>
      </c>
      <c r="B61" s="22" t="s">
        <v>29</v>
      </c>
      <c r="C61" s="22" t="s">
        <v>70</v>
      </c>
      <c r="D61" s="23" t="s">
        <v>21</v>
      </c>
      <c r="E61" s="24" t="s">
        <v>101</v>
      </c>
      <c r="F61" s="24" t="s">
        <v>86</v>
      </c>
      <c r="G61" s="24" t="s">
        <v>79</v>
      </c>
      <c r="H61" s="25">
        <v>2</v>
      </c>
      <c r="I61" s="25">
        <v>2</v>
      </c>
      <c r="J61" s="26">
        <v>29510.07</v>
      </c>
      <c r="K61" s="26">
        <v>0.12</v>
      </c>
      <c r="L61" s="26">
        <v>0</v>
      </c>
      <c r="M61" s="25">
        <v>2</v>
      </c>
      <c r="N61" s="25">
        <v>2</v>
      </c>
      <c r="O61" s="25">
        <v>1</v>
      </c>
      <c r="P61" s="27">
        <v>0</v>
      </c>
    </row>
    <row r="62" spans="1:16" ht="15" customHeight="1" x14ac:dyDescent="0.2">
      <c r="A62" s="21" t="s">
        <v>169</v>
      </c>
      <c r="B62" s="22" t="s">
        <v>57</v>
      </c>
      <c r="C62" s="22" t="s">
        <v>75</v>
      </c>
      <c r="D62" s="23" t="s">
        <v>21</v>
      </c>
      <c r="E62" s="24" t="s">
        <v>170</v>
      </c>
      <c r="F62" s="24" t="s">
        <v>55</v>
      </c>
      <c r="G62" s="24" t="s">
        <v>79</v>
      </c>
      <c r="H62" s="25">
        <v>2</v>
      </c>
      <c r="I62" s="25">
        <v>2</v>
      </c>
      <c r="J62" s="26">
        <v>58645.17</v>
      </c>
      <c r="K62" s="26">
        <v>0.14000000000000001</v>
      </c>
      <c r="L62" s="26">
        <v>0</v>
      </c>
      <c r="M62" s="25">
        <v>2</v>
      </c>
      <c r="N62" s="25">
        <v>2</v>
      </c>
      <c r="O62" s="25">
        <v>1</v>
      </c>
      <c r="P62" s="27">
        <v>0</v>
      </c>
    </row>
    <row r="63" spans="1:16" ht="15" customHeight="1" x14ac:dyDescent="0.2">
      <c r="A63" s="21" t="s">
        <v>171</v>
      </c>
      <c r="B63" s="22" t="s">
        <v>29</v>
      </c>
      <c r="C63" s="22" t="s">
        <v>125</v>
      </c>
      <c r="D63" s="23" t="s">
        <v>21</v>
      </c>
      <c r="E63" s="24" t="s">
        <v>172</v>
      </c>
      <c r="F63" s="24" t="s">
        <v>173</v>
      </c>
      <c r="G63" s="24" t="s">
        <v>79</v>
      </c>
      <c r="H63" s="25">
        <v>2</v>
      </c>
      <c r="I63" s="25">
        <v>2</v>
      </c>
      <c r="J63" s="26">
        <v>43200.28</v>
      </c>
      <c r="K63" s="26">
        <v>0.35</v>
      </c>
      <c r="L63" s="26">
        <v>0</v>
      </c>
      <c r="M63" s="25">
        <v>5</v>
      </c>
      <c r="N63" s="25">
        <v>2</v>
      </c>
      <c r="O63" s="25">
        <v>2</v>
      </c>
      <c r="P63" s="27">
        <v>0</v>
      </c>
    </row>
    <row r="64" spans="1:16" ht="15" customHeight="1" x14ac:dyDescent="0.2">
      <c r="A64" s="21" t="s">
        <v>174</v>
      </c>
      <c r="B64" s="22" t="s">
        <v>29</v>
      </c>
      <c r="C64" s="22" t="s">
        <v>70</v>
      </c>
      <c r="D64" s="23" t="s">
        <v>21</v>
      </c>
      <c r="E64" s="24" t="s">
        <v>175</v>
      </c>
      <c r="F64" s="24" t="s">
        <v>41</v>
      </c>
      <c r="G64" s="24" t="s">
        <v>79</v>
      </c>
      <c r="H64" s="25">
        <v>4</v>
      </c>
      <c r="I64" s="25">
        <v>4</v>
      </c>
      <c r="J64" s="26">
        <v>110252.92</v>
      </c>
      <c r="K64" s="26">
        <v>0.85</v>
      </c>
      <c r="L64" s="26">
        <v>0</v>
      </c>
      <c r="M64" s="25">
        <v>9</v>
      </c>
      <c r="N64" s="25">
        <v>4</v>
      </c>
      <c r="O64" s="25">
        <v>4</v>
      </c>
      <c r="P64" s="27">
        <v>0</v>
      </c>
    </row>
    <row r="65" spans="1:16" ht="15" customHeight="1" x14ac:dyDescent="0.2">
      <c r="A65" s="21" t="s">
        <v>176</v>
      </c>
      <c r="B65" s="22" t="s">
        <v>29</v>
      </c>
      <c r="C65" s="22" t="s">
        <v>39</v>
      </c>
      <c r="D65" s="23" t="s">
        <v>21</v>
      </c>
      <c r="E65" s="24" t="s">
        <v>177</v>
      </c>
      <c r="F65" s="24" t="s">
        <v>41</v>
      </c>
      <c r="G65" s="24" t="s">
        <v>79</v>
      </c>
      <c r="H65" s="25">
        <v>2</v>
      </c>
      <c r="I65" s="25">
        <v>2</v>
      </c>
      <c r="J65" s="26">
        <v>81984.81</v>
      </c>
      <c r="K65" s="26">
        <v>0.46</v>
      </c>
      <c r="L65" s="26">
        <v>0</v>
      </c>
      <c r="M65" s="25">
        <v>6</v>
      </c>
      <c r="N65" s="25">
        <v>2</v>
      </c>
      <c r="O65" s="25">
        <v>2</v>
      </c>
      <c r="P65" s="27">
        <v>0</v>
      </c>
    </row>
    <row r="66" spans="1:16" ht="15" customHeight="1" x14ac:dyDescent="0.2">
      <c r="A66" s="21" t="s">
        <v>178</v>
      </c>
      <c r="B66" s="22" t="s">
        <v>57</v>
      </c>
      <c r="C66" s="22" t="s">
        <v>35</v>
      </c>
      <c r="D66" s="23" t="s">
        <v>21</v>
      </c>
      <c r="E66" s="24" t="s">
        <v>172</v>
      </c>
      <c r="F66" s="24" t="s">
        <v>64</v>
      </c>
      <c r="G66" s="24" t="s">
        <v>79</v>
      </c>
      <c r="H66" s="25">
        <v>1</v>
      </c>
      <c r="I66" s="25">
        <v>1</v>
      </c>
      <c r="J66" s="26">
        <v>22279.05</v>
      </c>
      <c r="K66" s="26">
        <v>0.03</v>
      </c>
      <c r="L66" s="26">
        <v>0</v>
      </c>
      <c r="M66" s="25">
        <v>1</v>
      </c>
      <c r="N66" s="25">
        <v>1</v>
      </c>
      <c r="O66" s="25">
        <v>1</v>
      </c>
      <c r="P66" s="27">
        <v>0</v>
      </c>
    </row>
    <row r="67" spans="1:16" ht="15" customHeight="1" x14ac:dyDescent="0.2">
      <c r="A67" s="21" t="s">
        <v>179</v>
      </c>
      <c r="B67" s="22" t="s">
        <v>29</v>
      </c>
      <c r="C67" s="22" t="s">
        <v>39</v>
      </c>
      <c r="D67" s="23" t="s">
        <v>21</v>
      </c>
      <c r="E67" s="24" t="s">
        <v>180</v>
      </c>
      <c r="F67" s="24" t="s">
        <v>68</v>
      </c>
      <c r="G67" s="24" t="s">
        <v>79</v>
      </c>
      <c r="H67" s="25">
        <v>2</v>
      </c>
      <c r="I67" s="25">
        <v>2</v>
      </c>
      <c r="J67" s="26">
        <v>29621.29</v>
      </c>
      <c r="K67" s="26">
        <v>0</v>
      </c>
      <c r="L67" s="26">
        <v>0</v>
      </c>
      <c r="M67" s="25">
        <v>0</v>
      </c>
      <c r="N67" s="25">
        <v>2</v>
      </c>
      <c r="O67" s="25">
        <v>1</v>
      </c>
      <c r="P67" s="27">
        <v>0</v>
      </c>
    </row>
    <row r="68" spans="1:16" ht="15" customHeight="1" x14ac:dyDescent="0.2">
      <c r="A68" s="21" t="s">
        <v>181</v>
      </c>
      <c r="B68" s="22" t="s">
        <v>57</v>
      </c>
      <c r="C68" s="22" t="s">
        <v>125</v>
      </c>
      <c r="D68" s="23" t="s">
        <v>21</v>
      </c>
      <c r="E68" s="24" t="s">
        <v>182</v>
      </c>
      <c r="F68" s="24" t="s">
        <v>183</v>
      </c>
      <c r="G68" s="24" t="s">
        <v>79</v>
      </c>
      <c r="H68" s="25">
        <v>2</v>
      </c>
      <c r="I68" s="25">
        <v>2</v>
      </c>
      <c r="J68" s="26">
        <v>24886.23</v>
      </c>
      <c r="K68" s="26">
        <v>0.16</v>
      </c>
      <c r="L68" s="26">
        <v>0</v>
      </c>
      <c r="M68" s="25">
        <v>3</v>
      </c>
      <c r="N68" s="25">
        <v>2</v>
      </c>
      <c r="O68" s="25">
        <v>1</v>
      </c>
      <c r="P68" s="27">
        <v>0</v>
      </c>
    </row>
    <row r="69" spans="1:16" ht="15" customHeight="1" x14ac:dyDescent="0.2">
      <c r="A69" s="21" t="s">
        <v>184</v>
      </c>
      <c r="B69" s="22" t="s">
        <v>57</v>
      </c>
      <c r="C69" s="22" t="s">
        <v>45</v>
      </c>
      <c r="D69" s="23" t="s">
        <v>21</v>
      </c>
      <c r="E69" s="24" t="s">
        <v>185</v>
      </c>
      <c r="F69" s="24" t="s">
        <v>86</v>
      </c>
      <c r="G69" s="24" t="s">
        <v>79</v>
      </c>
      <c r="H69" s="25">
        <v>1</v>
      </c>
      <c r="I69" s="25">
        <v>1</v>
      </c>
      <c r="J69" s="26">
        <v>41089.89</v>
      </c>
      <c r="K69" s="26">
        <v>0.2</v>
      </c>
      <c r="L69" s="26">
        <v>0</v>
      </c>
      <c r="M69" s="25">
        <v>3</v>
      </c>
      <c r="N69" s="25">
        <v>1</v>
      </c>
      <c r="O69" s="25">
        <v>1</v>
      </c>
      <c r="P69" s="27">
        <v>0</v>
      </c>
    </row>
    <row r="70" spans="1:16" ht="15" customHeight="1" x14ac:dyDescent="0.2">
      <c r="A70" s="21" t="s">
        <v>186</v>
      </c>
      <c r="B70" s="22" t="s">
        <v>57</v>
      </c>
      <c r="C70" s="22" t="s">
        <v>35</v>
      </c>
      <c r="D70" s="23" t="s">
        <v>21</v>
      </c>
      <c r="E70" s="24" t="s">
        <v>187</v>
      </c>
      <c r="F70" s="24" t="s">
        <v>188</v>
      </c>
      <c r="G70" s="24" t="s">
        <v>79</v>
      </c>
      <c r="H70" s="25">
        <v>1</v>
      </c>
      <c r="I70" s="25">
        <v>1</v>
      </c>
      <c r="J70" s="26">
        <v>24902.21</v>
      </c>
      <c r="K70" s="26">
        <v>0.71</v>
      </c>
      <c r="L70" s="26">
        <v>0</v>
      </c>
      <c r="M70" s="25">
        <v>4</v>
      </c>
      <c r="N70" s="25">
        <v>1</v>
      </c>
      <c r="O70" s="25">
        <v>1</v>
      </c>
      <c r="P70" s="27">
        <v>0</v>
      </c>
    </row>
    <row r="71" spans="1:16" ht="15" customHeight="1" x14ac:dyDescent="0.2">
      <c r="A71" s="21" t="s">
        <v>189</v>
      </c>
      <c r="B71" s="22" t="s">
        <v>57</v>
      </c>
      <c r="C71" s="22" t="s">
        <v>190</v>
      </c>
      <c r="D71" s="23" t="s">
        <v>21</v>
      </c>
      <c r="E71" s="24" t="s">
        <v>191</v>
      </c>
      <c r="F71" s="24" t="s">
        <v>86</v>
      </c>
      <c r="G71" s="24" t="s">
        <v>79</v>
      </c>
      <c r="H71" s="25">
        <v>2</v>
      </c>
      <c r="I71" s="25">
        <v>2</v>
      </c>
      <c r="J71" s="26">
        <v>63228.93</v>
      </c>
      <c r="K71" s="26">
        <v>1.06</v>
      </c>
      <c r="L71" s="26">
        <v>0</v>
      </c>
      <c r="M71" s="25">
        <v>10</v>
      </c>
      <c r="N71" s="25">
        <v>2</v>
      </c>
      <c r="O71" s="25">
        <v>2</v>
      </c>
      <c r="P71" s="27">
        <v>0</v>
      </c>
    </row>
    <row r="72" spans="1:16" ht="15" customHeight="1" x14ac:dyDescent="0.2">
      <c r="A72" s="21" t="s">
        <v>192</v>
      </c>
      <c r="B72" s="22" t="s">
        <v>57</v>
      </c>
      <c r="C72" s="22" t="s">
        <v>75</v>
      </c>
      <c r="D72" s="23" t="s">
        <v>21</v>
      </c>
      <c r="E72" s="24" t="s">
        <v>193</v>
      </c>
      <c r="F72" s="24" t="s">
        <v>52</v>
      </c>
      <c r="G72" s="24" t="s">
        <v>79</v>
      </c>
      <c r="H72" s="25">
        <v>1</v>
      </c>
      <c r="I72" s="25">
        <v>1</v>
      </c>
      <c r="J72" s="26">
        <v>54665.17</v>
      </c>
      <c r="K72" s="26">
        <v>0.78</v>
      </c>
      <c r="L72" s="26">
        <v>0</v>
      </c>
      <c r="M72" s="25">
        <v>7</v>
      </c>
      <c r="N72" s="25">
        <v>1</v>
      </c>
      <c r="O72" s="25">
        <v>1</v>
      </c>
      <c r="P72" s="27">
        <v>0</v>
      </c>
    </row>
    <row r="73" spans="1:16" ht="15" customHeight="1" x14ac:dyDescent="0.2">
      <c r="A73" s="21" t="s">
        <v>194</v>
      </c>
      <c r="B73" s="22" t="s">
        <v>29</v>
      </c>
      <c r="C73" s="22" t="s">
        <v>125</v>
      </c>
      <c r="D73" s="23" t="s">
        <v>21</v>
      </c>
      <c r="E73" s="24" t="s">
        <v>193</v>
      </c>
      <c r="F73" s="24" t="s">
        <v>52</v>
      </c>
      <c r="G73" s="24" t="s">
        <v>79</v>
      </c>
      <c r="H73" s="25">
        <v>4</v>
      </c>
      <c r="I73" s="25">
        <v>4</v>
      </c>
      <c r="J73" s="26">
        <v>163026.23000000001</v>
      </c>
      <c r="K73" s="26">
        <v>1.86</v>
      </c>
      <c r="L73" s="26">
        <v>0</v>
      </c>
      <c r="M73" s="25">
        <v>21</v>
      </c>
      <c r="N73" s="25">
        <v>4</v>
      </c>
      <c r="O73" s="25">
        <v>4</v>
      </c>
      <c r="P73" s="27">
        <v>0</v>
      </c>
    </row>
    <row r="74" spans="1:16" ht="15" customHeight="1" x14ac:dyDescent="0.2">
      <c r="A74" s="21" t="s">
        <v>195</v>
      </c>
      <c r="B74" s="22" t="s">
        <v>57</v>
      </c>
      <c r="C74" s="22" t="s">
        <v>196</v>
      </c>
      <c r="D74" s="23" t="s">
        <v>21</v>
      </c>
      <c r="E74" s="24" t="s">
        <v>197</v>
      </c>
      <c r="F74" s="24" t="s">
        <v>52</v>
      </c>
      <c r="G74" s="24" t="s">
        <v>79</v>
      </c>
      <c r="H74" s="25">
        <v>1</v>
      </c>
      <c r="I74" s="25">
        <v>1</v>
      </c>
      <c r="J74" s="26">
        <v>43664.160000000003</v>
      </c>
      <c r="K74" s="26">
        <v>0.45</v>
      </c>
      <c r="L74" s="26">
        <v>0</v>
      </c>
      <c r="M74" s="25">
        <v>5</v>
      </c>
      <c r="N74" s="25">
        <v>1</v>
      </c>
      <c r="O74" s="25">
        <v>1</v>
      </c>
      <c r="P74" s="27">
        <v>0</v>
      </c>
    </row>
    <row r="75" spans="1:16" ht="15" customHeight="1" x14ac:dyDescent="0.2">
      <c r="A75" s="21" t="s">
        <v>198</v>
      </c>
      <c r="B75" s="22" t="s">
        <v>57</v>
      </c>
      <c r="C75" s="22" t="s">
        <v>125</v>
      </c>
      <c r="D75" s="23" t="s">
        <v>21</v>
      </c>
      <c r="E75" s="24" t="s">
        <v>197</v>
      </c>
      <c r="F75" s="24" t="s">
        <v>173</v>
      </c>
      <c r="G75" s="24" t="s">
        <v>79</v>
      </c>
      <c r="H75" s="25">
        <v>1</v>
      </c>
      <c r="I75" s="25">
        <v>1</v>
      </c>
      <c r="J75" s="26">
        <v>24198.080000000002</v>
      </c>
      <c r="K75" s="26">
        <v>0.19</v>
      </c>
      <c r="L75" s="26">
        <v>0</v>
      </c>
      <c r="M75" s="25">
        <v>3</v>
      </c>
      <c r="N75" s="25">
        <v>1</v>
      </c>
      <c r="O75" s="25">
        <v>1</v>
      </c>
      <c r="P75" s="27">
        <v>0</v>
      </c>
    </row>
    <row r="76" spans="1:16" ht="15" customHeight="1" x14ac:dyDescent="0.2">
      <c r="A76" s="21" t="s">
        <v>199</v>
      </c>
      <c r="B76" s="22" t="s">
        <v>57</v>
      </c>
      <c r="C76" s="22" t="s">
        <v>125</v>
      </c>
      <c r="D76" s="23" t="s">
        <v>21</v>
      </c>
      <c r="E76" s="24" t="s">
        <v>193</v>
      </c>
      <c r="F76" s="24" t="s">
        <v>138</v>
      </c>
      <c r="G76" s="24" t="s">
        <v>79</v>
      </c>
      <c r="H76" s="25">
        <v>1</v>
      </c>
      <c r="I76" s="25">
        <v>1</v>
      </c>
      <c r="J76" s="26">
        <v>19950.61</v>
      </c>
      <c r="K76" s="26">
        <v>0.12</v>
      </c>
      <c r="L76" s="26">
        <v>0</v>
      </c>
      <c r="M76" s="25">
        <v>2</v>
      </c>
      <c r="N76" s="25">
        <v>1</v>
      </c>
      <c r="O76" s="25">
        <v>1</v>
      </c>
      <c r="P76" s="27">
        <v>0</v>
      </c>
    </row>
    <row r="77" spans="1:16" ht="15" customHeight="1" x14ac:dyDescent="0.2">
      <c r="A77" s="21" t="s">
        <v>200</v>
      </c>
      <c r="B77" s="22" t="s">
        <v>29</v>
      </c>
      <c r="C77" s="22" t="s">
        <v>45</v>
      </c>
      <c r="D77" s="23" t="s">
        <v>21</v>
      </c>
      <c r="E77" s="24" t="s">
        <v>201</v>
      </c>
      <c r="F77" s="24" t="s">
        <v>64</v>
      </c>
      <c r="G77" s="24" t="s">
        <v>79</v>
      </c>
      <c r="H77" s="25">
        <v>2</v>
      </c>
      <c r="I77" s="25">
        <v>2</v>
      </c>
      <c r="J77" s="26">
        <v>11890.11</v>
      </c>
      <c r="K77" s="26">
        <v>0.85</v>
      </c>
      <c r="L77" s="26">
        <v>0</v>
      </c>
      <c r="M77" s="25">
        <v>2</v>
      </c>
      <c r="N77" s="25">
        <v>2</v>
      </c>
      <c r="O77" s="25">
        <v>1</v>
      </c>
      <c r="P77" s="27">
        <v>0</v>
      </c>
    </row>
    <row r="78" spans="1:16" ht="15" customHeight="1" x14ac:dyDescent="0.2">
      <c r="A78" s="21" t="s">
        <v>202</v>
      </c>
      <c r="B78" s="22" t="s">
        <v>29</v>
      </c>
      <c r="C78" s="22" t="s">
        <v>45</v>
      </c>
      <c r="D78" s="23" t="s">
        <v>21</v>
      </c>
      <c r="E78" s="24" t="s">
        <v>203</v>
      </c>
      <c r="F78" s="24" t="s">
        <v>52</v>
      </c>
      <c r="G78" s="24" t="s">
        <v>79</v>
      </c>
      <c r="H78" s="25">
        <v>3</v>
      </c>
      <c r="I78" s="25">
        <v>3</v>
      </c>
      <c r="J78" s="26">
        <v>36135.65</v>
      </c>
      <c r="K78" s="26">
        <v>0.11</v>
      </c>
      <c r="L78" s="26">
        <v>0</v>
      </c>
      <c r="M78" s="25">
        <v>3</v>
      </c>
      <c r="N78" s="25">
        <v>3</v>
      </c>
      <c r="O78" s="25">
        <v>2</v>
      </c>
      <c r="P78" s="27">
        <v>0</v>
      </c>
    </row>
    <row r="79" spans="1:16" ht="15" customHeight="1" x14ac:dyDescent="0.2">
      <c r="A79" s="21" t="s">
        <v>204</v>
      </c>
      <c r="B79" s="22" t="s">
        <v>57</v>
      </c>
      <c r="C79" s="22" t="s">
        <v>45</v>
      </c>
      <c r="D79" s="23" t="s">
        <v>21</v>
      </c>
      <c r="E79" s="24" t="s">
        <v>205</v>
      </c>
      <c r="F79" s="24" t="s">
        <v>55</v>
      </c>
      <c r="G79" s="24" t="s">
        <v>79</v>
      </c>
      <c r="H79" s="25">
        <v>1</v>
      </c>
      <c r="I79" s="25">
        <v>1</v>
      </c>
      <c r="J79" s="26">
        <v>33121.08</v>
      </c>
      <c r="K79" s="26">
        <v>0.22</v>
      </c>
      <c r="L79" s="26">
        <v>0</v>
      </c>
      <c r="M79" s="25">
        <v>2</v>
      </c>
      <c r="N79" s="25">
        <v>1</v>
      </c>
      <c r="O79" s="25">
        <v>1</v>
      </c>
      <c r="P79" s="27">
        <v>0</v>
      </c>
    </row>
    <row r="80" spans="1:16" ht="15" customHeight="1" x14ac:dyDescent="0.2">
      <c r="A80" s="21" t="s">
        <v>206</v>
      </c>
      <c r="B80" s="22" t="s">
        <v>57</v>
      </c>
      <c r="C80" s="22" t="s">
        <v>75</v>
      </c>
      <c r="D80" s="23" t="s">
        <v>21</v>
      </c>
      <c r="E80" s="24" t="s">
        <v>207</v>
      </c>
      <c r="F80" s="24" t="s">
        <v>47</v>
      </c>
      <c r="G80" s="24" t="s">
        <v>79</v>
      </c>
      <c r="H80" s="25">
        <v>2</v>
      </c>
      <c r="I80" s="25">
        <v>2</v>
      </c>
      <c r="J80" s="26">
        <v>29856.49</v>
      </c>
      <c r="K80" s="26">
        <v>0.12</v>
      </c>
      <c r="L80" s="26">
        <v>0</v>
      </c>
      <c r="M80" s="25">
        <v>2</v>
      </c>
      <c r="N80" s="25">
        <v>2</v>
      </c>
      <c r="O80" s="25">
        <v>2</v>
      </c>
      <c r="P80" s="27">
        <v>0</v>
      </c>
    </row>
    <row r="81" spans="1:16" ht="15" customHeight="1" x14ac:dyDescent="0.2">
      <c r="A81" s="21" t="s">
        <v>208</v>
      </c>
      <c r="B81" s="22" t="s">
        <v>29</v>
      </c>
      <c r="C81" s="22" t="s">
        <v>75</v>
      </c>
      <c r="D81" s="23" t="s">
        <v>21</v>
      </c>
      <c r="E81" s="24" t="s">
        <v>209</v>
      </c>
      <c r="F81" s="24" t="s">
        <v>27</v>
      </c>
      <c r="G81" s="24" t="s">
        <v>79</v>
      </c>
      <c r="H81" s="25">
        <v>6</v>
      </c>
      <c r="I81" s="25">
        <v>6</v>
      </c>
      <c r="J81" s="26">
        <v>40314.32</v>
      </c>
      <c r="K81" s="26">
        <v>0.23</v>
      </c>
      <c r="L81" s="26">
        <v>0</v>
      </c>
      <c r="M81" s="25">
        <v>3</v>
      </c>
      <c r="N81" s="25">
        <v>6</v>
      </c>
      <c r="O81" s="25">
        <v>2</v>
      </c>
      <c r="P81" s="27">
        <v>0</v>
      </c>
    </row>
    <row r="82" spans="1:16" ht="15" customHeight="1" x14ac:dyDescent="0.2">
      <c r="A82" s="21" t="s">
        <v>210</v>
      </c>
      <c r="B82" s="22" t="s">
        <v>29</v>
      </c>
      <c r="C82" s="22" t="s">
        <v>45</v>
      </c>
      <c r="D82" s="23" t="s">
        <v>21</v>
      </c>
      <c r="E82" s="24" t="s">
        <v>211</v>
      </c>
      <c r="F82" s="24" t="s">
        <v>116</v>
      </c>
      <c r="G82" s="24" t="s">
        <v>79</v>
      </c>
      <c r="H82" s="25">
        <v>1</v>
      </c>
      <c r="I82" s="25">
        <v>1</v>
      </c>
      <c r="J82" s="26">
        <v>14563.59</v>
      </c>
      <c r="K82" s="26">
        <v>0</v>
      </c>
      <c r="L82" s="26">
        <v>0</v>
      </c>
      <c r="M82" s="25">
        <v>1</v>
      </c>
      <c r="N82" s="25">
        <v>1</v>
      </c>
      <c r="O82" s="25">
        <v>1</v>
      </c>
      <c r="P82" s="27">
        <v>0</v>
      </c>
    </row>
    <row r="83" spans="1:16" ht="15" customHeight="1" x14ac:dyDescent="0.2">
      <c r="A83" s="21" t="s">
        <v>212</v>
      </c>
      <c r="B83" s="22" t="s">
        <v>29</v>
      </c>
      <c r="C83" s="22" t="s">
        <v>70</v>
      </c>
      <c r="D83" s="23" t="s">
        <v>21</v>
      </c>
      <c r="E83" s="24" t="s">
        <v>213</v>
      </c>
      <c r="F83" s="24" t="s">
        <v>111</v>
      </c>
      <c r="G83" s="24" t="s">
        <v>79</v>
      </c>
      <c r="H83" s="25">
        <v>3</v>
      </c>
      <c r="I83" s="25">
        <v>3</v>
      </c>
      <c r="J83" s="26">
        <v>50044.41</v>
      </c>
      <c r="K83" s="26">
        <v>0.16</v>
      </c>
      <c r="L83" s="26">
        <v>0</v>
      </c>
      <c r="M83" s="25">
        <v>0</v>
      </c>
      <c r="N83" s="25">
        <v>3</v>
      </c>
      <c r="O83" s="25">
        <v>3</v>
      </c>
      <c r="P83" s="27">
        <v>0</v>
      </c>
    </row>
    <row r="84" spans="1:16" ht="15" customHeight="1" x14ac:dyDescent="0.2">
      <c r="A84" s="21" t="s">
        <v>214</v>
      </c>
      <c r="B84" s="22" t="s">
        <v>29</v>
      </c>
      <c r="C84" s="22" t="s">
        <v>190</v>
      </c>
      <c r="D84" s="23" t="s">
        <v>21</v>
      </c>
      <c r="E84" s="24" t="s">
        <v>215</v>
      </c>
      <c r="F84" s="24" t="s">
        <v>216</v>
      </c>
      <c r="G84" s="24" t="s">
        <v>79</v>
      </c>
      <c r="H84" s="25">
        <v>4</v>
      </c>
      <c r="I84" s="25">
        <v>4</v>
      </c>
      <c r="J84" s="26">
        <v>76140.03</v>
      </c>
      <c r="K84" s="26">
        <v>0.71</v>
      </c>
      <c r="L84" s="26">
        <v>0</v>
      </c>
      <c r="M84" s="25">
        <v>10</v>
      </c>
      <c r="N84" s="25">
        <v>4</v>
      </c>
      <c r="O84" s="25">
        <v>4</v>
      </c>
      <c r="P84" s="27">
        <v>0</v>
      </c>
    </row>
    <row r="85" spans="1:16" ht="15" customHeight="1" x14ac:dyDescent="0.2">
      <c r="A85" s="21" t="s">
        <v>217</v>
      </c>
      <c r="B85" s="22" t="s">
        <v>29</v>
      </c>
      <c r="C85" s="22" t="s">
        <v>75</v>
      </c>
      <c r="D85" s="23" t="s">
        <v>21</v>
      </c>
      <c r="E85" s="24" t="s">
        <v>218</v>
      </c>
      <c r="F85" s="24" t="s">
        <v>52</v>
      </c>
      <c r="G85" s="24" t="s">
        <v>79</v>
      </c>
      <c r="H85" s="25">
        <v>1</v>
      </c>
      <c r="I85" s="25">
        <v>1</v>
      </c>
      <c r="J85" s="26">
        <v>23556.89</v>
      </c>
      <c r="K85" s="26">
        <v>0.23</v>
      </c>
      <c r="L85" s="26">
        <v>0</v>
      </c>
      <c r="M85" s="25">
        <v>2</v>
      </c>
      <c r="N85" s="25">
        <v>1</v>
      </c>
      <c r="O85" s="25">
        <v>1</v>
      </c>
      <c r="P85" s="27">
        <v>0</v>
      </c>
    </row>
    <row r="86" spans="1:16" ht="15" customHeight="1" x14ac:dyDescent="0.2">
      <c r="A86" s="21" t="s">
        <v>219</v>
      </c>
      <c r="B86" s="22" t="s">
        <v>57</v>
      </c>
      <c r="C86" s="22" t="s">
        <v>45</v>
      </c>
      <c r="D86" s="23" t="s">
        <v>21</v>
      </c>
      <c r="E86" s="24" t="s">
        <v>220</v>
      </c>
      <c r="F86" s="24" t="s">
        <v>86</v>
      </c>
      <c r="G86" s="24" t="s">
        <v>79</v>
      </c>
      <c r="H86" s="25">
        <v>1</v>
      </c>
      <c r="I86" s="25">
        <v>1</v>
      </c>
      <c r="J86" s="26">
        <v>15594.3</v>
      </c>
      <c r="K86" s="26">
        <v>0.02</v>
      </c>
      <c r="L86" s="26">
        <v>0</v>
      </c>
      <c r="M86" s="25">
        <v>1</v>
      </c>
      <c r="N86" s="25">
        <v>1</v>
      </c>
      <c r="O86" s="25">
        <v>1</v>
      </c>
      <c r="P86" s="27">
        <v>0</v>
      </c>
    </row>
    <row r="87" spans="1:16" ht="15" customHeight="1" x14ac:dyDescent="0.2">
      <c r="A87" s="21" t="s">
        <v>221</v>
      </c>
      <c r="B87" s="22" t="s">
        <v>29</v>
      </c>
      <c r="C87" s="22" t="s">
        <v>75</v>
      </c>
      <c r="D87" s="23" t="s">
        <v>21</v>
      </c>
      <c r="E87" s="24" t="s">
        <v>222</v>
      </c>
      <c r="F87" s="24" t="s">
        <v>52</v>
      </c>
      <c r="G87" s="24" t="s">
        <v>79</v>
      </c>
      <c r="H87" s="25">
        <v>2</v>
      </c>
      <c r="I87" s="25">
        <v>2</v>
      </c>
      <c r="J87" s="26">
        <v>14410.39</v>
      </c>
      <c r="K87" s="26">
        <v>0</v>
      </c>
      <c r="L87" s="26">
        <v>0</v>
      </c>
      <c r="M87" s="25">
        <v>1</v>
      </c>
      <c r="N87" s="25">
        <v>2</v>
      </c>
      <c r="O87" s="25">
        <v>1</v>
      </c>
      <c r="P87" s="27">
        <v>0</v>
      </c>
    </row>
    <row r="88" spans="1:16" ht="15" customHeight="1" x14ac:dyDescent="0.2">
      <c r="A88" s="21" t="s">
        <v>223</v>
      </c>
      <c r="B88" s="22" t="s">
        <v>29</v>
      </c>
      <c r="C88" s="22" t="s">
        <v>45</v>
      </c>
      <c r="D88" s="23" t="s">
        <v>21</v>
      </c>
      <c r="E88" s="24" t="s">
        <v>213</v>
      </c>
      <c r="F88" s="24" t="s">
        <v>23</v>
      </c>
      <c r="G88" s="24" t="s">
        <v>79</v>
      </c>
      <c r="H88" s="25">
        <v>1</v>
      </c>
      <c r="I88" s="25">
        <v>1</v>
      </c>
      <c r="J88" s="26">
        <v>13386.43</v>
      </c>
      <c r="K88" s="26">
        <v>0.15</v>
      </c>
      <c r="L88" s="26">
        <v>0</v>
      </c>
      <c r="M88" s="25">
        <v>2</v>
      </c>
      <c r="N88" s="25">
        <v>1</v>
      </c>
      <c r="O88" s="25">
        <v>1</v>
      </c>
      <c r="P88" s="27">
        <v>0</v>
      </c>
    </row>
    <row r="89" spans="1:16" ht="15" customHeight="1" x14ac:dyDescent="0.2">
      <c r="A89" s="21" t="s">
        <v>224</v>
      </c>
      <c r="B89" s="22" t="s">
        <v>57</v>
      </c>
      <c r="C89" s="22" t="s">
        <v>75</v>
      </c>
      <c r="D89" s="23" t="s">
        <v>21</v>
      </c>
      <c r="E89" s="24" t="s">
        <v>225</v>
      </c>
      <c r="F89" s="24" t="s">
        <v>23</v>
      </c>
      <c r="G89" s="24" t="s">
        <v>79</v>
      </c>
      <c r="H89" s="25">
        <v>1</v>
      </c>
      <c r="I89" s="25">
        <v>1</v>
      </c>
      <c r="J89" s="26">
        <v>16538.25</v>
      </c>
      <c r="K89" s="26">
        <v>0.06</v>
      </c>
      <c r="L89" s="26">
        <v>0</v>
      </c>
      <c r="M89" s="25">
        <v>1</v>
      </c>
      <c r="N89" s="25">
        <v>1</v>
      </c>
      <c r="O89" s="25">
        <v>1</v>
      </c>
      <c r="P89" s="27">
        <v>0</v>
      </c>
    </row>
    <row r="90" spans="1:16" ht="15" customHeight="1" x14ac:dyDescent="0.2">
      <c r="A90" s="21" t="s">
        <v>226</v>
      </c>
      <c r="B90" s="22" t="s">
        <v>29</v>
      </c>
      <c r="C90" s="22" t="s">
        <v>39</v>
      </c>
      <c r="D90" s="23" t="s">
        <v>21</v>
      </c>
      <c r="E90" s="24" t="s">
        <v>227</v>
      </c>
      <c r="F90" s="24" t="s">
        <v>55</v>
      </c>
      <c r="G90" s="24" t="s">
        <v>79</v>
      </c>
      <c r="H90" s="25">
        <v>1</v>
      </c>
      <c r="I90" s="25">
        <v>1</v>
      </c>
      <c r="J90" s="26">
        <v>34273.43</v>
      </c>
      <c r="K90" s="26">
        <v>0.17</v>
      </c>
      <c r="L90" s="26">
        <v>0</v>
      </c>
      <c r="M90" s="25">
        <v>2</v>
      </c>
      <c r="N90" s="25">
        <v>1</v>
      </c>
      <c r="O90" s="25">
        <v>1</v>
      </c>
      <c r="P90" s="27">
        <v>0</v>
      </c>
    </row>
    <row r="91" spans="1:16" ht="15" customHeight="1" x14ac:dyDescent="0.2">
      <c r="A91" s="21" t="s">
        <v>228</v>
      </c>
      <c r="B91" s="22" t="s">
        <v>29</v>
      </c>
      <c r="C91" s="22" t="s">
        <v>81</v>
      </c>
      <c r="D91" s="23" t="s">
        <v>21</v>
      </c>
      <c r="E91" s="24" t="s">
        <v>229</v>
      </c>
      <c r="F91" s="24" t="s">
        <v>23</v>
      </c>
      <c r="G91" s="24" t="s">
        <v>79</v>
      </c>
      <c r="H91" s="25">
        <v>1</v>
      </c>
      <c r="I91" s="25">
        <v>1</v>
      </c>
      <c r="J91" s="26">
        <v>9636.01</v>
      </c>
      <c r="K91" s="26">
        <v>0</v>
      </c>
      <c r="L91" s="26">
        <v>0</v>
      </c>
      <c r="M91" s="25">
        <v>1</v>
      </c>
      <c r="N91" s="25">
        <v>1</v>
      </c>
      <c r="O91" s="25">
        <v>1</v>
      </c>
      <c r="P91" s="27">
        <v>0</v>
      </c>
    </row>
    <row r="92" spans="1:16" ht="15" customHeight="1" x14ac:dyDescent="0.2">
      <c r="A92" s="21" t="s">
        <v>230</v>
      </c>
      <c r="B92" s="22" t="s">
        <v>57</v>
      </c>
      <c r="C92" s="22" t="s">
        <v>35</v>
      </c>
      <c r="D92" s="23" t="s">
        <v>21</v>
      </c>
      <c r="E92" s="24" t="s">
        <v>229</v>
      </c>
      <c r="F92" s="24" t="s">
        <v>52</v>
      </c>
      <c r="G92" s="24" t="s">
        <v>79</v>
      </c>
      <c r="H92" s="25">
        <v>2</v>
      </c>
      <c r="I92" s="25">
        <v>2</v>
      </c>
      <c r="J92" s="26">
        <v>38638.949999999997</v>
      </c>
      <c r="K92" s="26">
        <v>0.55000000000000004</v>
      </c>
      <c r="L92" s="26">
        <v>0</v>
      </c>
      <c r="M92" s="25">
        <v>5</v>
      </c>
      <c r="N92" s="25">
        <v>2</v>
      </c>
      <c r="O92" s="25">
        <v>1</v>
      </c>
      <c r="P92" s="27">
        <v>0</v>
      </c>
    </row>
    <row r="93" spans="1:16" ht="15" customHeight="1" x14ac:dyDescent="0.2">
      <c r="A93" s="21" t="s">
        <v>231</v>
      </c>
      <c r="B93" s="22" t="s">
        <v>29</v>
      </c>
      <c r="C93" s="22" t="s">
        <v>75</v>
      </c>
      <c r="D93" s="23" t="s">
        <v>21</v>
      </c>
      <c r="E93" s="24" t="s">
        <v>220</v>
      </c>
      <c r="F93" s="24" t="s">
        <v>111</v>
      </c>
      <c r="G93" s="24" t="s">
        <v>79</v>
      </c>
      <c r="H93" s="25">
        <v>1</v>
      </c>
      <c r="I93" s="25">
        <v>1</v>
      </c>
      <c r="J93" s="26">
        <v>25223.59</v>
      </c>
      <c r="K93" s="26">
        <v>0.05</v>
      </c>
      <c r="L93" s="26">
        <v>0</v>
      </c>
      <c r="M93" s="25">
        <v>1</v>
      </c>
      <c r="N93" s="25">
        <v>1</v>
      </c>
      <c r="O93" s="25">
        <v>1</v>
      </c>
      <c r="P93" s="27">
        <v>0</v>
      </c>
    </row>
    <row r="94" spans="1:16" ht="15" customHeight="1" x14ac:dyDescent="0.2">
      <c r="A94" s="21" t="s">
        <v>232</v>
      </c>
      <c r="B94" s="22" t="s">
        <v>29</v>
      </c>
      <c r="C94" s="22" t="s">
        <v>39</v>
      </c>
      <c r="D94" s="23" t="s">
        <v>21</v>
      </c>
      <c r="E94" s="24" t="s">
        <v>220</v>
      </c>
      <c r="F94" s="24" t="s">
        <v>41</v>
      </c>
      <c r="G94" s="24" t="s">
        <v>79</v>
      </c>
      <c r="H94" s="25">
        <v>1</v>
      </c>
      <c r="I94" s="25">
        <v>1</v>
      </c>
      <c r="J94" s="26">
        <v>12799.39</v>
      </c>
      <c r="K94" s="26">
        <v>0.14000000000000001</v>
      </c>
      <c r="L94" s="26">
        <v>0</v>
      </c>
      <c r="M94" s="25">
        <v>1</v>
      </c>
      <c r="N94" s="25">
        <v>1</v>
      </c>
      <c r="O94" s="25">
        <v>1</v>
      </c>
      <c r="P94" s="27">
        <v>0</v>
      </c>
    </row>
    <row r="95" spans="1:16" ht="15" customHeight="1" x14ac:dyDescent="0.2">
      <c r="A95" s="21" t="s">
        <v>233</v>
      </c>
      <c r="B95" s="22" t="s">
        <v>29</v>
      </c>
      <c r="C95" s="22" t="s">
        <v>81</v>
      </c>
      <c r="D95" s="23" t="s">
        <v>21</v>
      </c>
      <c r="E95" s="24" t="s">
        <v>218</v>
      </c>
      <c r="F95" s="24" t="s">
        <v>86</v>
      </c>
      <c r="G95" s="24" t="s">
        <v>79</v>
      </c>
      <c r="H95" s="25">
        <v>1</v>
      </c>
      <c r="I95" s="25">
        <v>1</v>
      </c>
      <c r="J95" s="26">
        <v>22701.16</v>
      </c>
      <c r="K95" s="26">
        <v>0.23</v>
      </c>
      <c r="L95" s="26">
        <v>0</v>
      </c>
      <c r="M95" s="25">
        <v>3</v>
      </c>
      <c r="N95" s="25">
        <v>1</v>
      </c>
      <c r="O95" s="25">
        <v>1</v>
      </c>
      <c r="P95" s="27">
        <v>0</v>
      </c>
    </row>
    <row r="96" spans="1:16" ht="15" customHeight="1" x14ac:dyDescent="0.2">
      <c r="A96" s="21" t="s">
        <v>234</v>
      </c>
      <c r="B96" s="22" t="s">
        <v>57</v>
      </c>
      <c r="C96" s="22" t="s">
        <v>75</v>
      </c>
      <c r="D96" s="23" t="s">
        <v>21</v>
      </c>
      <c r="E96" s="24" t="s">
        <v>235</v>
      </c>
      <c r="F96" s="24" t="s">
        <v>111</v>
      </c>
      <c r="G96" s="24" t="s">
        <v>79</v>
      </c>
      <c r="H96" s="25">
        <v>1</v>
      </c>
      <c r="I96" s="25">
        <v>1</v>
      </c>
      <c r="J96" s="26">
        <v>27974.3</v>
      </c>
      <c r="K96" s="26">
        <v>0.05</v>
      </c>
      <c r="L96" s="26">
        <v>0</v>
      </c>
      <c r="M96" s="25">
        <v>1</v>
      </c>
      <c r="N96" s="25">
        <v>1</v>
      </c>
      <c r="O96" s="25">
        <v>1</v>
      </c>
      <c r="P96" s="27">
        <v>0</v>
      </c>
    </row>
    <row r="97" spans="1:16" ht="15" customHeight="1" x14ac:dyDescent="0.2">
      <c r="A97" s="21" t="s">
        <v>236</v>
      </c>
      <c r="B97" s="22" t="s">
        <v>29</v>
      </c>
      <c r="C97" s="22" t="s">
        <v>39</v>
      </c>
      <c r="D97" s="23" t="s">
        <v>21</v>
      </c>
      <c r="E97" s="24" t="s">
        <v>237</v>
      </c>
      <c r="F97" s="24" t="s">
        <v>143</v>
      </c>
      <c r="G97" s="24" t="s">
        <v>79</v>
      </c>
      <c r="H97" s="25">
        <v>3</v>
      </c>
      <c r="I97" s="25">
        <v>3</v>
      </c>
      <c r="J97" s="26">
        <v>73981.75</v>
      </c>
      <c r="K97" s="26">
        <v>0.4</v>
      </c>
      <c r="L97" s="26">
        <v>0</v>
      </c>
      <c r="M97" s="25">
        <v>8</v>
      </c>
      <c r="N97" s="25">
        <v>3</v>
      </c>
      <c r="O97" s="25">
        <v>2</v>
      </c>
      <c r="P97" s="27">
        <v>0</v>
      </c>
    </row>
    <row r="98" spans="1:16" ht="15" customHeight="1" x14ac:dyDescent="0.2">
      <c r="A98" s="21" t="s">
        <v>238</v>
      </c>
      <c r="B98" s="22" t="s">
        <v>29</v>
      </c>
      <c r="C98" s="22" t="s">
        <v>190</v>
      </c>
      <c r="D98" s="23" t="s">
        <v>21</v>
      </c>
      <c r="E98" s="24" t="s">
        <v>239</v>
      </c>
      <c r="F98" s="24" t="s">
        <v>68</v>
      </c>
      <c r="G98" s="24" t="s">
        <v>79</v>
      </c>
      <c r="H98" s="25">
        <v>2</v>
      </c>
      <c r="I98" s="25">
        <v>2</v>
      </c>
      <c r="J98" s="26">
        <v>36441.040000000001</v>
      </c>
      <c r="K98" s="26">
        <v>0.28000000000000003</v>
      </c>
      <c r="L98" s="26">
        <v>0</v>
      </c>
      <c r="M98" s="25">
        <v>3</v>
      </c>
      <c r="N98" s="25">
        <v>2</v>
      </c>
      <c r="O98" s="25">
        <v>2</v>
      </c>
      <c r="P98" s="27">
        <v>0</v>
      </c>
    </row>
    <row r="99" spans="1:16" ht="15" customHeight="1" x14ac:dyDescent="0.2">
      <c r="A99" s="21" t="s">
        <v>240</v>
      </c>
      <c r="B99" s="22" t="s">
        <v>29</v>
      </c>
      <c r="C99" s="22" t="s">
        <v>81</v>
      </c>
      <c r="D99" s="23" t="s">
        <v>21</v>
      </c>
      <c r="E99" s="24" t="s">
        <v>241</v>
      </c>
      <c r="F99" s="24" t="s">
        <v>173</v>
      </c>
      <c r="G99" s="24" t="s">
        <v>79</v>
      </c>
      <c r="H99" s="25">
        <v>2</v>
      </c>
      <c r="I99" s="25">
        <v>2</v>
      </c>
      <c r="J99" s="26">
        <v>50857.48</v>
      </c>
      <c r="K99" s="26">
        <v>0.74</v>
      </c>
      <c r="L99" s="26">
        <v>0</v>
      </c>
      <c r="M99" s="25">
        <v>8</v>
      </c>
      <c r="N99" s="25">
        <v>2</v>
      </c>
      <c r="O99" s="25">
        <v>2</v>
      </c>
      <c r="P99" s="27">
        <v>0</v>
      </c>
    </row>
    <row r="100" spans="1:16" ht="15" customHeight="1" x14ac:dyDescent="0.2">
      <c r="A100" s="21" t="s">
        <v>242</v>
      </c>
      <c r="B100" s="22" t="s">
        <v>29</v>
      </c>
      <c r="C100" s="22" t="s">
        <v>45</v>
      </c>
      <c r="D100" s="23" t="s">
        <v>21</v>
      </c>
      <c r="E100" s="24" t="s">
        <v>243</v>
      </c>
      <c r="F100" s="24" t="s">
        <v>52</v>
      </c>
      <c r="G100" s="24" t="s">
        <v>79</v>
      </c>
      <c r="H100" s="25">
        <v>2</v>
      </c>
      <c r="I100" s="25">
        <v>2</v>
      </c>
      <c r="J100" s="26">
        <v>14488.47</v>
      </c>
      <c r="K100" s="26">
        <v>0</v>
      </c>
      <c r="L100" s="26">
        <v>0</v>
      </c>
      <c r="M100" s="25">
        <v>1</v>
      </c>
      <c r="N100" s="25">
        <v>2</v>
      </c>
      <c r="O100" s="25">
        <v>1</v>
      </c>
      <c r="P100" s="27">
        <v>0</v>
      </c>
    </row>
    <row r="101" spans="1:16" ht="15" customHeight="1" x14ac:dyDescent="0.2">
      <c r="A101" s="21" t="s">
        <v>244</v>
      </c>
      <c r="B101" s="22" t="s">
        <v>29</v>
      </c>
      <c r="C101" s="22" t="s">
        <v>45</v>
      </c>
      <c r="D101" s="23" t="s">
        <v>21</v>
      </c>
      <c r="E101" s="24" t="s">
        <v>59</v>
      </c>
      <c r="F101" s="24" t="s">
        <v>52</v>
      </c>
      <c r="G101" s="24" t="s">
        <v>79</v>
      </c>
      <c r="H101" s="25">
        <v>3</v>
      </c>
      <c r="I101" s="25">
        <v>3</v>
      </c>
      <c r="J101" s="26">
        <v>63287.51</v>
      </c>
      <c r="K101" s="26">
        <v>0.45</v>
      </c>
      <c r="L101" s="26">
        <v>0</v>
      </c>
      <c r="M101" s="25">
        <v>5</v>
      </c>
      <c r="N101" s="25">
        <v>3</v>
      </c>
      <c r="O101" s="25">
        <v>3</v>
      </c>
      <c r="P101" s="27">
        <v>0</v>
      </c>
    </row>
    <row r="102" spans="1:16" ht="15" customHeight="1" thickBot="1" x14ac:dyDescent="0.25">
      <c r="A102" s="21" t="s">
        <v>245</v>
      </c>
      <c r="B102" s="22" t="s">
        <v>29</v>
      </c>
      <c r="C102" s="22" t="s">
        <v>39</v>
      </c>
      <c r="D102" s="23" t="s">
        <v>21</v>
      </c>
      <c r="E102" s="24" t="s">
        <v>246</v>
      </c>
      <c r="F102" s="24" t="s">
        <v>173</v>
      </c>
      <c r="G102" s="24" t="s">
        <v>73</v>
      </c>
      <c r="H102" s="25">
        <v>4</v>
      </c>
      <c r="I102" s="25">
        <v>4</v>
      </c>
      <c r="J102" s="26">
        <v>50141</v>
      </c>
      <c r="K102" s="26">
        <v>0</v>
      </c>
      <c r="L102" s="26">
        <v>0</v>
      </c>
      <c r="M102" s="25">
        <v>4</v>
      </c>
      <c r="N102" s="25">
        <v>4</v>
      </c>
      <c r="O102" s="25">
        <v>3</v>
      </c>
      <c r="P102" s="27">
        <v>0</v>
      </c>
    </row>
    <row r="103" spans="1:16" ht="15" customHeight="1" thickTop="1" thickBot="1" x14ac:dyDescent="0.25">
      <c r="A103" s="28" t="s">
        <v>247</v>
      </c>
      <c r="B103" s="29"/>
      <c r="C103" s="29"/>
      <c r="D103" s="29"/>
      <c r="E103" s="29"/>
      <c r="F103" s="29"/>
      <c r="G103" s="29"/>
      <c r="H103" s="12">
        <f t="shared" ref="H103:P103" si="0">SUM(H4:H102)</f>
        <v>279</v>
      </c>
      <c r="I103" s="12">
        <f t="shared" si="0"/>
        <v>279</v>
      </c>
      <c r="J103" s="13">
        <f t="shared" si="0"/>
        <v>7395696.6300000008</v>
      </c>
      <c r="K103" s="13">
        <f t="shared" si="0"/>
        <v>74.720000000000013</v>
      </c>
      <c r="L103" s="13">
        <f t="shared" si="0"/>
        <v>0</v>
      </c>
      <c r="M103" s="12">
        <f t="shared" si="0"/>
        <v>818</v>
      </c>
      <c r="N103" s="12">
        <f t="shared" si="0"/>
        <v>279</v>
      </c>
      <c r="O103" s="12">
        <f t="shared" si="0"/>
        <v>228</v>
      </c>
      <c r="P103" s="14">
        <f t="shared" si="0"/>
        <v>0</v>
      </c>
    </row>
    <row r="104" spans="1:16" ht="13.5" thickTop="1" x14ac:dyDescent="0.2"/>
    <row r="105" spans="1:16" x14ac:dyDescent="0.2">
      <c r="A105" s="11" t="s">
        <v>248</v>
      </c>
    </row>
    <row r="106" spans="1:16" x14ac:dyDescent="0.2">
      <c r="A106" s="30" t="s">
        <v>249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</row>
  </sheetData>
  <mergeCells count="2">
    <mergeCell ref="A103:G103"/>
    <mergeCell ref="A106:P106"/>
  </mergeCells>
  <phoneticPr fontId="3" type="noConversion"/>
  <printOptions horizontalCentered="1"/>
  <pageMargins left="0.19685039370078741" right="0.19685039370078741" top="0.39370078740157483" bottom="0.39370078740157483" header="0.51181102362204722" footer="0.51181102362204722"/>
  <pageSetup paperSize="9" scale="85" orientation="landscape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A4" sqref="A4:IV4"/>
    </sheetView>
  </sheetViews>
  <sheetFormatPr defaultRowHeight="12.75" x14ac:dyDescent="0.2"/>
  <cols>
    <col min="1" max="1" width="12.7109375" customWidth="1"/>
    <col min="2" max="2" width="21.7109375" customWidth="1"/>
    <col min="3" max="3" width="15.7109375" customWidth="1"/>
    <col min="4" max="4" width="3.85546875" customWidth="1"/>
    <col min="5" max="7" width="11.28515625" customWidth="1"/>
    <col min="8" max="8" width="11.7109375" customWidth="1"/>
    <col min="9" max="9" width="11.42578125" customWidth="1"/>
  </cols>
  <sheetData>
    <row r="1" spans="1:9" ht="20.100000000000001" customHeight="1" x14ac:dyDescent="0.2">
      <c r="A1" s="5" t="s">
        <v>0</v>
      </c>
      <c r="B1" s="1"/>
      <c r="C1" s="1"/>
      <c r="D1" s="1"/>
      <c r="E1" s="7"/>
      <c r="F1" s="7"/>
      <c r="G1" s="7"/>
      <c r="H1" s="2"/>
    </row>
    <row r="2" spans="1:9" ht="20.100000000000001" customHeight="1" thickBot="1" x14ac:dyDescent="0.25">
      <c r="A2" s="16" t="s">
        <v>250</v>
      </c>
      <c r="B2" s="1"/>
      <c r="C2" s="1"/>
      <c r="D2" s="1"/>
      <c r="E2" s="7"/>
      <c r="F2" s="7"/>
      <c r="G2" s="7"/>
      <c r="H2" s="2"/>
    </row>
    <row r="3" spans="1:9" ht="27" customHeight="1" thickTop="1" thickBot="1" x14ac:dyDescent="0.25">
      <c r="A3" s="6" t="s">
        <v>2</v>
      </c>
      <c r="B3" s="3" t="s">
        <v>3</v>
      </c>
      <c r="C3" s="3" t="s">
        <v>4</v>
      </c>
      <c r="D3" s="3" t="s">
        <v>5</v>
      </c>
      <c r="E3" s="8" t="s">
        <v>6</v>
      </c>
      <c r="F3" s="8" t="s">
        <v>7</v>
      </c>
      <c r="G3" s="8" t="s">
        <v>8</v>
      </c>
      <c r="H3" s="4" t="s">
        <v>11</v>
      </c>
      <c r="I3" s="3" t="s">
        <v>251</v>
      </c>
    </row>
    <row r="4" spans="1:9" ht="15" customHeight="1" thickTop="1" thickBot="1" x14ac:dyDescent="0.25">
      <c r="A4" s="28" t="s">
        <v>252</v>
      </c>
      <c r="B4" s="29"/>
      <c r="C4" s="29"/>
      <c r="D4" s="29"/>
      <c r="E4" s="29"/>
      <c r="F4" s="29"/>
      <c r="G4" s="29"/>
      <c r="H4" s="13" t="e">
        <f>SUM(#REF!)</f>
        <v>#REF!</v>
      </c>
      <c r="I4" s="12" t="e">
        <f>SUM(#REF!)</f>
        <v>#REF!</v>
      </c>
    </row>
    <row r="5" spans="1:9" ht="13.5" thickTop="1" x14ac:dyDescent="0.2"/>
    <row r="7" spans="1:9" x14ac:dyDescent="0.2">
      <c r="A7" s="30" t="s">
        <v>249</v>
      </c>
      <c r="B7" s="31"/>
      <c r="C7" s="31"/>
      <c r="D7" s="31"/>
      <c r="E7" s="31"/>
      <c r="F7" s="31"/>
      <c r="G7" s="31"/>
      <c r="H7" s="31"/>
      <c r="I7" s="31"/>
    </row>
  </sheetData>
  <mergeCells count="2">
    <mergeCell ref="A4:G4"/>
    <mergeCell ref="A7:I7"/>
  </mergeCells>
  <phoneticPr fontId="3" type="noConversion"/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A4" sqref="A4:IV4"/>
    </sheetView>
  </sheetViews>
  <sheetFormatPr defaultRowHeight="12.75" x14ac:dyDescent="0.2"/>
  <cols>
    <col min="1" max="1" width="12.7109375" customWidth="1"/>
    <col min="2" max="2" width="21.7109375" customWidth="1"/>
    <col min="3" max="3" width="15.7109375" customWidth="1"/>
    <col min="4" max="4" width="3.85546875" customWidth="1"/>
    <col min="5" max="7" width="11.28515625" customWidth="1"/>
    <col min="10" max="10" width="11.7109375" customWidth="1"/>
    <col min="11" max="11" width="12.7109375" customWidth="1"/>
  </cols>
  <sheetData>
    <row r="1" spans="1:11" ht="20.100000000000001" customHeight="1" x14ac:dyDescent="0.2">
      <c r="A1" s="5" t="s">
        <v>0</v>
      </c>
      <c r="B1" s="1"/>
      <c r="C1" s="1"/>
      <c r="D1" s="1"/>
      <c r="E1" s="7"/>
      <c r="F1" s="7"/>
      <c r="G1" s="7"/>
      <c r="H1" s="1"/>
      <c r="I1" s="1"/>
      <c r="J1" s="2"/>
    </row>
    <row r="2" spans="1:11" ht="20.100000000000001" customHeight="1" thickBot="1" x14ac:dyDescent="0.25">
      <c r="A2" s="16" t="s">
        <v>253</v>
      </c>
      <c r="B2" s="1"/>
      <c r="C2" s="1"/>
      <c r="D2" s="1"/>
      <c r="E2" s="7"/>
      <c r="F2" s="7"/>
      <c r="G2" s="7"/>
      <c r="H2" s="1"/>
      <c r="I2" s="1"/>
      <c r="J2" s="2"/>
    </row>
    <row r="3" spans="1:11" ht="27" customHeight="1" thickTop="1" thickBot="1" x14ac:dyDescent="0.25">
      <c r="A3" s="6" t="s">
        <v>2</v>
      </c>
      <c r="B3" s="3" t="s">
        <v>3</v>
      </c>
      <c r="C3" s="3" t="s">
        <v>4</v>
      </c>
      <c r="D3" s="3" t="s">
        <v>5</v>
      </c>
      <c r="E3" s="8" t="s">
        <v>6</v>
      </c>
      <c r="F3" s="8" t="s">
        <v>7</v>
      </c>
      <c r="G3" s="8" t="s">
        <v>8</v>
      </c>
      <c r="H3" s="3" t="s">
        <v>9</v>
      </c>
      <c r="I3" s="3" t="s">
        <v>10</v>
      </c>
      <c r="J3" s="4" t="s">
        <v>11</v>
      </c>
      <c r="K3" s="3" t="s">
        <v>254</v>
      </c>
    </row>
    <row r="4" spans="1:11" ht="15" customHeight="1" thickTop="1" thickBot="1" x14ac:dyDescent="0.25">
      <c r="A4" s="28" t="s">
        <v>252</v>
      </c>
      <c r="B4" s="29"/>
      <c r="C4" s="29"/>
      <c r="D4" s="29"/>
      <c r="E4" s="29"/>
      <c r="F4" s="29"/>
      <c r="G4" s="29"/>
      <c r="H4" s="12" t="e">
        <f>SUM(#REF!)</f>
        <v>#REF!</v>
      </c>
      <c r="I4" s="12" t="e">
        <f>SUM(#REF!)</f>
        <v>#REF!</v>
      </c>
      <c r="J4" s="13" t="e">
        <f>SUM(#REF!)</f>
        <v>#REF!</v>
      </c>
      <c r="K4" s="12" t="e">
        <f>SUM(#REF!)</f>
        <v>#REF!</v>
      </c>
    </row>
    <row r="5" spans="1:11" ht="13.5" thickTop="1" x14ac:dyDescent="0.2"/>
    <row r="7" spans="1:11" x14ac:dyDescent="0.2">
      <c r="A7" s="30" t="s">
        <v>249</v>
      </c>
      <c r="B7" s="31"/>
      <c r="C7" s="31"/>
      <c r="D7" s="31"/>
      <c r="E7" s="31"/>
      <c r="F7" s="31"/>
      <c r="G7" s="31"/>
      <c r="H7" s="31"/>
      <c r="I7" s="31"/>
      <c r="J7" s="31"/>
      <c r="K7" s="31"/>
    </row>
  </sheetData>
  <mergeCells count="2">
    <mergeCell ref="A4:G4"/>
    <mergeCell ref="A7:K7"/>
  </mergeCells>
  <phoneticPr fontId="3" type="noConversion"/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A4" sqref="A4:IV4"/>
    </sheetView>
  </sheetViews>
  <sheetFormatPr defaultRowHeight="12.75" x14ac:dyDescent="0.2"/>
  <cols>
    <col min="1" max="1" width="12.7109375" customWidth="1"/>
    <col min="2" max="2" width="21.7109375" customWidth="1"/>
    <col min="3" max="3" width="15.7109375" customWidth="1"/>
    <col min="4" max="4" width="3.85546875" customWidth="1"/>
    <col min="5" max="7" width="11.28515625" customWidth="1"/>
  </cols>
  <sheetData>
    <row r="1" spans="1:9" ht="20.100000000000001" customHeight="1" x14ac:dyDescent="0.2">
      <c r="A1" s="5" t="s">
        <v>0</v>
      </c>
      <c r="B1" s="1"/>
      <c r="C1" s="1"/>
      <c r="D1" s="1"/>
      <c r="E1" s="7"/>
      <c r="F1" s="7"/>
      <c r="G1" s="7"/>
      <c r="H1" s="2"/>
    </row>
    <row r="2" spans="1:9" ht="20.100000000000001" customHeight="1" thickBot="1" x14ac:dyDescent="0.25">
      <c r="A2" s="16" t="s">
        <v>255</v>
      </c>
      <c r="B2" s="1"/>
      <c r="C2" s="1"/>
      <c r="D2" s="1"/>
      <c r="E2" s="7"/>
      <c r="F2" s="7"/>
      <c r="G2" s="7"/>
      <c r="H2" s="2"/>
    </row>
    <row r="3" spans="1:9" ht="27" customHeight="1" thickTop="1" thickBot="1" x14ac:dyDescent="0.25">
      <c r="A3" s="6" t="s">
        <v>2</v>
      </c>
      <c r="B3" s="3" t="s">
        <v>3</v>
      </c>
      <c r="C3" s="3" t="s">
        <v>4</v>
      </c>
      <c r="D3" s="3" t="s">
        <v>5</v>
      </c>
      <c r="E3" s="8" t="s">
        <v>6</v>
      </c>
      <c r="F3" s="8" t="s">
        <v>7</v>
      </c>
      <c r="G3" s="8" t="s">
        <v>8</v>
      </c>
      <c r="H3" s="4" t="s">
        <v>11</v>
      </c>
      <c r="I3" s="3" t="s">
        <v>256</v>
      </c>
    </row>
    <row r="4" spans="1:9" ht="15" customHeight="1" thickTop="1" thickBot="1" x14ac:dyDescent="0.25">
      <c r="A4" s="28" t="s">
        <v>252</v>
      </c>
      <c r="B4" s="29"/>
      <c r="C4" s="29"/>
      <c r="D4" s="29"/>
      <c r="E4" s="29"/>
      <c r="F4" s="29"/>
      <c r="G4" s="29"/>
      <c r="H4" s="13" t="e">
        <f>SUM(#REF!)</f>
        <v>#REF!</v>
      </c>
      <c r="I4" s="12" t="e">
        <f>SUM(#REF!)</f>
        <v>#REF!</v>
      </c>
    </row>
    <row r="5" spans="1:9" ht="13.5" thickTop="1" x14ac:dyDescent="0.2"/>
    <row r="7" spans="1:9" x14ac:dyDescent="0.2">
      <c r="A7" s="30" t="s">
        <v>249</v>
      </c>
      <c r="B7" s="31"/>
      <c r="C7" s="31"/>
      <c r="D7" s="31"/>
      <c r="E7" s="31"/>
      <c r="F7" s="31"/>
      <c r="G7" s="31"/>
      <c r="H7" s="31"/>
      <c r="I7" s="31"/>
    </row>
  </sheetData>
  <mergeCells count="2">
    <mergeCell ref="A4:G4"/>
    <mergeCell ref="A7:I7"/>
  </mergeCells>
  <phoneticPr fontId="3" type="noConversion"/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selection activeCell="A4" sqref="A4:IV4"/>
    </sheetView>
  </sheetViews>
  <sheetFormatPr defaultRowHeight="12.75" x14ac:dyDescent="0.2"/>
  <cols>
    <col min="1" max="1" width="12.7109375" customWidth="1"/>
    <col min="2" max="2" width="21.7109375" customWidth="1"/>
    <col min="3" max="3" width="15.7109375" customWidth="1"/>
    <col min="4" max="4" width="3.85546875" customWidth="1"/>
    <col min="5" max="7" width="11.28515625" customWidth="1"/>
  </cols>
  <sheetData>
    <row r="1" spans="1:10" ht="20.100000000000001" customHeight="1" x14ac:dyDescent="0.2">
      <c r="A1" s="5" t="s">
        <v>0</v>
      </c>
      <c r="B1" s="1"/>
      <c r="C1" s="1"/>
      <c r="D1" s="1"/>
      <c r="E1" s="7"/>
      <c r="F1" s="7"/>
      <c r="G1" s="7"/>
      <c r="H1" s="1"/>
      <c r="I1" s="1"/>
      <c r="J1" s="2"/>
    </row>
    <row r="2" spans="1:10" ht="20.100000000000001" customHeight="1" thickBot="1" x14ac:dyDescent="0.25">
      <c r="A2" s="16" t="s">
        <v>257</v>
      </c>
      <c r="B2" s="1"/>
      <c r="C2" s="1"/>
      <c r="D2" s="1"/>
      <c r="E2" s="7"/>
      <c r="F2" s="7"/>
      <c r="G2" s="7"/>
      <c r="H2" s="1"/>
      <c r="I2" s="1"/>
      <c r="J2" s="2"/>
    </row>
    <row r="3" spans="1:10" ht="27" customHeight="1" thickTop="1" thickBot="1" x14ac:dyDescent="0.25">
      <c r="A3" s="6" t="s">
        <v>2</v>
      </c>
      <c r="B3" s="3" t="s">
        <v>3</v>
      </c>
      <c r="C3" s="3" t="s">
        <v>4</v>
      </c>
      <c r="D3" s="3" t="s">
        <v>5</v>
      </c>
      <c r="E3" s="8" t="s">
        <v>6</v>
      </c>
      <c r="F3" s="8" t="s">
        <v>7</v>
      </c>
      <c r="G3" s="8" t="s">
        <v>8</v>
      </c>
      <c r="H3" s="3" t="s">
        <v>9</v>
      </c>
      <c r="I3" s="3" t="s">
        <v>10</v>
      </c>
      <c r="J3" s="4" t="s">
        <v>11</v>
      </c>
    </row>
    <row r="4" spans="1:10" ht="15" customHeight="1" thickTop="1" thickBot="1" x14ac:dyDescent="0.25">
      <c r="A4" s="28" t="s">
        <v>252</v>
      </c>
      <c r="B4" s="29"/>
      <c r="C4" s="29"/>
      <c r="D4" s="29"/>
      <c r="E4" s="29"/>
      <c r="F4" s="29"/>
      <c r="G4" s="29"/>
      <c r="H4" s="12" t="e">
        <f>SUM(#REF!)</f>
        <v>#REF!</v>
      </c>
      <c r="I4" s="12" t="e">
        <f>SUM(#REF!)</f>
        <v>#REF!</v>
      </c>
      <c r="J4" s="13" t="e">
        <f>SUM(#REF!)</f>
        <v>#REF!</v>
      </c>
    </row>
    <row r="5" spans="1:10" ht="13.5" thickTop="1" x14ac:dyDescent="0.2"/>
    <row r="7" spans="1:10" x14ac:dyDescent="0.2">
      <c r="A7" s="30" t="s">
        <v>249</v>
      </c>
      <c r="B7" s="31"/>
      <c r="C7" s="31"/>
      <c r="D7" s="31"/>
      <c r="E7" s="31"/>
      <c r="F7" s="31"/>
      <c r="G7" s="31"/>
      <c r="H7" s="31"/>
      <c r="I7" s="31"/>
      <c r="J7" s="31"/>
    </row>
  </sheetData>
  <mergeCells count="2">
    <mergeCell ref="A4:G4"/>
    <mergeCell ref="A7:J7"/>
  </mergeCells>
  <phoneticPr fontId="3" type="noConversion"/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2F07EB93DA5F42B3907BCADA671ADB" ma:contentTypeVersion="11" ma:contentTypeDescription="Crie um novo documento." ma:contentTypeScope="" ma:versionID="f05a182e50e5433a851bca8ce5a03341">
  <xsd:schema xmlns:xsd="http://www.w3.org/2001/XMLSchema" xmlns:xs="http://www.w3.org/2001/XMLSchema" xmlns:p="http://schemas.microsoft.com/office/2006/metadata/properties" xmlns:ns2="d20dbeee-c1de-4f67-a1ca-5199b828b284" xmlns:ns3="ede51d34-6089-4a54-a94b-a55c0a991a79" targetNamespace="http://schemas.microsoft.com/office/2006/metadata/properties" ma:root="true" ma:fieldsID="3b99afdd783a4a0404cf0a13529af6e3" ns2:_="" ns3:_="">
    <xsd:import namespace="d20dbeee-c1de-4f67-a1ca-5199b828b284"/>
    <xsd:import namespace="ede51d34-6089-4a54-a94b-a55c0a991a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0dbeee-c1de-4f67-a1ca-5199b828b2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7d676b8-d979-44ac-94e4-c5562c6d17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51d34-6089-4a54-a94b-a55c0a991a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2bbdc48-b378-4f2f-9dd6-2108e3d54c31}" ma:internalName="TaxCatchAll" ma:showField="CatchAllData" ma:web="ede51d34-6089-4a54-a94b-a55c0a991a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80B1EF-0AAF-4D91-BDEA-BB629CCF09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0dbeee-c1de-4f67-a1ca-5199b828b284"/>
    <ds:schemaRef ds:uri="ede51d34-6089-4a54-a94b-a55c0a991a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AC8BB5-94FF-45B7-93C0-6EC3FBF76A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Rural</vt:lpstr>
      <vt:lpstr>Subestação</vt:lpstr>
      <vt:lpstr>Fonte Alternativa</vt:lpstr>
      <vt:lpstr>Geração</vt:lpstr>
      <vt:lpstr>Diversos</vt:lpstr>
    </vt:vector>
  </TitlesOfParts>
  <Manager/>
  <Company>Eletrobras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camilla Andrade dos Santos Paiva</dc:creator>
  <cp:keywords/>
  <dc:description/>
  <cp:lastModifiedBy>Lais dos Santos Brito</cp:lastModifiedBy>
  <cp:revision/>
  <dcterms:created xsi:type="dcterms:W3CDTF">2004-11-29T12:38:08Z</dcterms:created>
  <dcterms:modified xsi:type="dcterms:W3CDTF">2026-05-15T13:27:45Z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2026-05-15T13:27:45Z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f9c8a45e-8eb2-4356-be0f-6ef5baeb76f6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